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ha\Downloads\datova-analyza-dataset (3)\datova-analyza-dataset\"/>
    </mc:Choice>
  </mc:AlternateContent>
  <xr:revisionPtr revIDLastSave="0" documentId="13_ncr:1_{9FD7F8F4-ACAD-48B5-B020-AF9DC32B6445}" xr6:coauthVersionLast="47" xr6:coauthVersionMax="47" xr10:uidLastSave="{00000000-0000-0000-0000-000000000000}"/>
  <bookViews>
    <workbookView xWindow="-28920" yWindow="-120" windowWidth="29040" windowHeight="16440" activeTab="8" xr2:uid="{00000000-000D-0000-FFFF-FFFF00000000}"/>
  </bookViews>
  <sheets>
    <sheet name="dataset_prodejny_nabytek" sheetId="1" r:id="rId1"/>
    <sheet name="deskriptiva" sheetId="2" r:id="rId2"/>
    <sheet name="ukol1" sheetId="3" r:id="rId3"/>
    <sheet name="explorace" sheetId="4" r:id="rId4"/>
    <sheet name="grafy" sheetId="5" r:id="rId5"/>
    <sheet name="ukol2" sheetId="6" r:id="rId6"/>
    <sheet name="diagnostika" sheetId="7" r:id="rId7"/>
    <sheet name="datamining" sheetId="8" r:id="rId8"/>
    <sheet name="ukol3" sheetId="9" r:id="rId9"/>
  </sheets>
  <definedNames>
    <definedName name="_xlchart.v1.0" hidden="1">dataset_prodejny_nabytek!$G$1</definedName>
    <definedName name="_xlchart.v1.1" hidden="1">dataset_prodejny_nabytek!$G$2:$G$1002</definedName>
    <definedName name="_xlchart.v1.10" hidden="1">ukol3!$G$18:$G$823</definedName>
    <definedName name="_xlchart.v1.11" hidden="1">ukol3!$H$17</definedName>
    <definedName name="_xlchart.v1.12" hidden="1">ukol3!$H$18:$H$823</definedName>
    <definedName name="_xlchart.v1.13" hidden="1">ukol3!$N$13</definedName>
    <definedName name="_xlchart.v1.14" hidden="1">ukol3!$J$13:$J$356</definedName>
    <definedName name="_xlchart.v1.15" hidden="1">ukol3!$K$13:$K$668</definedName>
    <definedName name="_xlchart.v1.16" hidden="1">ukol3!$O$13</definedName>
    <definedName name="_xlchart.v1.2" hidden="1">ukol1!$N$12</definedName>
    <definedName name="_xlchart.v1.3" hidden="1">dataset_prodejny_nabytek!$G$1</definedName>
    <definedName name="_xlchart.v1.4" hidden="1">dataset_prodejny_nabytek!$G$2:$G$1002</definedName>
    <definedName name="_xlchart.v1.5" hidden="1">ukol1!$N$12</definedName>
    <definedName name="_xlchart.v1.6" hidden="1">dataset_prodejny_nabytek!$G$1</definedName>
    <definedName name="_xlchart.v1.7" hidden="1">dataset_prodejny_nabytek!$G$2:$G$1002</definedName>
    <definedName name="_xlchart.v1.8" hidden="1">ukol1!$E$9</definedName>
    <definedName name="_xlchart.v1.9" hidden="1">ukol3!$G$17</definedName>
  </definedNames>
  <calcPr calcId="191029"/>
  <pivotCaches>
    <pivotCache cacheId="3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0FNURYwAi8fTRsiPp+9n7RCFDzbmEgsn/G6/rsW3zRs="/>
    </ext>
  </extLst>
</workbook>
</file>

<file path=xl/calcChain.xml><?xml version="1.0" encoding="utf-8"?>
<calcChain xmlns="http://schemas.openxmlformats.org/spreadsheetml/2006/main">
  <c r="G18" i="9" l="1" a="1"/>
  <c r="G18" i="9" s="1"/>
  <c r="H18" i="9" a="1"/>
  <c r="H18" i="9" s="1"/>
  <c r="K13" i="9" a="1"/>
  <c r="K13" i="9" s="1"/>
  <c r="J13" i="9" a="1"/>
  <c r="J13" i="9" s="1"/>
  <c r="F30" i="8"/>
  <c r="F29" i="8"/>
  <c r="F33" i="8"/>
  <c r="E33" i="8"/>
  <c r="O3" i="1"/>
  <c r="F23" i="8"/>
  <c r="E23" i="8"/>
  <c r="G23" i="8" s="1"/>
  <c r="G17" i="8"/>
  <c r="G18" i="8"/>
  <c r="G19" i="8"/>
  <c r="G20" i="8"/>
  <c r="G21" i="8"/>
  <c r="G22" i="8"/>
  <c r="G16" i="8"/>
  <c r="A2" i="7" a="1"/>
  <c r="A2" i="7" s="1"/>
  <c r="B4" i="6"/>
  <c r="B3" i="6"/>
  <c r="B2" i="6"/>
  <c r="B1" i="6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B2" i="4"/>
  <c r="B1" i="4"/>
  <c r="F26" i="3" a="1"/>
  <c r="F26" i="3" s="1"/>
  <c r="B10" i="3"/>
  <c r="B7" i="3"/>
  <c r="B9" i="3"/>
  <c r="B8" i="3"/>
  <c r="B6" i="3"/>
  <c r="B5" i="3"/>
  <c r="B4" i="3"/>
  <c r="B3" i="3"/>
  <c r="B2" i="3"/>
  <c r="B1" i="3"/>
  <c r="B2" i="7" l="1" a="1"/>
  <c r="B2" i="7" s="1"/>
  <c r="C2" i="7" a="1"/>
  <c r="C2" i="7" s="1"/>
  <c r="B5" i="6"/>
  <c r="B11" i="3"/>
  <c r="B5" i="2"/>
  <c r="B7" i="2"/>
  <c r="B6" i="2"/>
  <c r="C4" i="2"/>
  <c r="B4" i="2"/>
  <c r="D11" i="2" s="1"/>
  <c r="B1" i="2"/>
  <c r="B3" i="2"/>
  <c r="B2" i="2"/>
  <c r="H1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<sst xmlns="http://schemas.openxmlformats.org/spreadsheetml/2006/main" count="5176" uniqueCount="91">
  <si>
    <t>ID</t>
  </si>
  <si>
    <t>Datum</t>
  </si>
  <si>
    <t>Prodejna</t>
  </si>
  <si>
    <t>Produkt</t>
  </si>
  <si>
    <t>Pocet_kusu</t>
  </si>
  <si>
    <t>Cena_za_kus</t>
  </si>
  <si>
    <t>Celkovy_prodej</t>
  </si>
  <si>
    <t>Zisk</t>
  </si>
  <si>
    <t>E-shop</t>
  </si>
  <si>
    <t>Doba_dodani</t>
  </si>
  <si>
    <t>Reklamace</t>
  </si>
  <si>
    <t>Spokojenost</t>
  </si>
  <si>
    <t>Typ_zakaznika</t>
  </si>
  <si>
    <t>Ostrava</t>
  </si>
  <si>
    <t>Křeslo Relax</t>
  </si>
  <si>
    <t>ne</t>
  </si>
  <si>
    <t>ano</t>
  </si>
  <si>
    <t>firemní</t>
  </si>
  <si>
    <t>Brno</t>
  </si>
  <si>
    <t>TV stolek</t>
  </si>
  <si>
    <t>individuální</t>
  </si>
  <si>
    <t>Praha</t>
  </si>
  <si>
    <t>Pohovka Modern</t>
  </si>
  <si>
    <t>Olomouc</t>
  </si>
  <si>
    <t>Židle Herní</t>
  </si>
  <si>
    <t>Plzeň</t>
  </si>
  <si>
    <t>Postel Dřevěná</t>
  </si>
  <si>
    <t>Stojan na boty</t>
  </si>
  <si>
    <t>Skříň Šatní</t>
  </si>
  <si>
    <t>Postel Čalouněná</t>
  </si>
  <si>
    <t>Křeslo Comfort</t>
  </si>
  <si>
    <t>Hradec Králové</t>
  </si>
  <si>
    <t>Stůl Kulatý</t>
  </si>
  <si>
    <t>Regál Kovový</t>
  </si>
  <si>
    <t>Židle Kovová</t>
  </si>
  <si>
    <t>Komoda Bílá</t>
  </si>
  <si>
    <t>Liberec</t>
  </si>
  <si>
    <t>Konferenční stolek Sklo</t>
  </si>
  <si>
    <t>Postel Dětská</t>
  </si>
  <si>
    <t>Židle Elegant</t>
  </si>
  <si>
    <t>TV stolek Modern</t>
  </si>
  <si>
    <t>Konferenční stolek</t>
  </si>
  <si>
    <t>Stůl Jídelní</t>
  </si>
  <si>
    <t>Komoda Rustikální</t>
  </si>
  <si>
    <t>Komoda Dubová</t>
  </si>
  <si>
    <t>Polička Rohová</t>
  </si>
  <si>
    <t>Polička Nástěnná</t>
  </si>
  <si>
    <t>Pohovka Luxusní</t>
  </si>
  <si>
    <t>Skříň Posuvná</t>
  </si>
  <si>
    <t>Celkový zisk</t>
  </si>
  <si>
    <t>Počet prodaných kusů</t>
  </si>
  <si>
    <t>Rozptyl</t>
  </si>
  <si>
    <t>Průměr prodaných kusů</t>
  </si>
  <si>
    <t>Rozptyl počtu prodaných kusů</t>
  </si>
  <si>
    <t>Nejmenší cena zboží [Kč]</t>
  </si>
  <si>
    <t>Největší zena zboží [Kč]</t>
  </si>
  <si>
    <t>Směrodatná odchylka počtu prodaných kusů</t>
  </si>
  <si>
    <t>Počet transakcí</t>
  </si>
  <si>
    <t>Průměrný prodej</t>
  </si>
  <si>
    <t>Median prodeje</t>
  </si>
  <si>
    <t>Max prodej</t>
  </si>
  <si>
    <t>Min prodej</t>
  </si>
  <si>
    <t>Směrodatná odchylka</t>
  </si>
  <si>
    <t>První kvartil</t>
  </si>
  <si>
    <t>Třetí kvartil</t>
  </si>
  <si>
    <t>95 % kvantil</t>
  </si>
  <si>
    <t>IQR</t>
  </si>
  <si>
    <t>Počet kusů x Celkový prodej</t>
  </si>
  <si>
    <t>Celkový prodej x Zisk</t>
  </si>
  <si>
    <t>dummy_eshop</t>
  </si>
  <si>
    <t>dummy_reklamace</t>
  </si>
  <si>
    <t>Popisky řádků</t>
  </si>
  <si>
    <t>Celkový součet</t>
  </si>
  <si>
    <t>Popisky sloupců</t>
  </si>
  <si>
    <t>Součet z Celkovy_prodej</t>
  </si>
  <si>
    <t>Doba dodání x Spokojenost zákazníka</t>
  </si>
  <si>
    <t>Počet kusů x Reklamace</t>
  </si>
  <si>
    <t>Cena za kus x Celkový prodej</t>
  </si>
  <si>
    <t>Eshop x Celkový prodej</t>
  </si>
  <si>
    <t>Součet z dummy_reklamace</t>
  </si>
  <si>
    <t>Počet z Reklamace</t>
  </si>
  <si>
    <t>Průměrná spokojenost</t>
  </si>
  <si>
    <t>Průměrná doba doručení</t>
  </si>
  <si>
    <t>Průměr z Spokojenost</t>
  </si>
  <si>
    <t>Počet z Cena_za_kus</t>
  </si>
  <si>
    <t>Míra reklamací</t>
  </si>
  <si>
    <t>Počet kusů - prodejna</t>
  </si>
  <si>
    <t>Reklamace prodejny</t>
  </si>
  <si>
    <t>Počet z Pocet_kusu</t>
  </si>
  <si>
    <t xml:space="preserve"> Ahoj jak to jde     </t>
  </si>
  <si>
    <t xml:space="preserve">	a 	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</si>
</sst>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9" fontId="0" fillId="2" borderId="0" xfId="1" applyFont="1" applyFill="1"/>
  </cellXfs>
  <cellStyles count="2">
    <cellStyle name="Normální" xfId="0" builtinId="0"/>
    <cellStyle name="Procenta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dataset_prodejny_nabytek!$G$1</c:f>
              <c:strCache>
                <c:ptCount val="1"/>
                <c:pt idx="0">
                  <c:v>Celkovy_prodej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dataset_prodejny_nabytek!$E$2:$E$1002</c:f>
              <c:numCache>
                <c:formatCode>General</c:formatCode>
                <c:ptCount val="100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14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14</c:v>
                </c:pt>
                <c:pt idx="37">
                  <c:v>10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8</c:v>
                </c:pt>
                <c:pt idx="63">
                  <c:v>8</c:v>
                </c:pt>
                <c:pt idx="64">
                  <c:v>10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11</c:v>
                </c:pt>
                <c:pt idx="72">
                  <c:v>14</c:v>
                </c:pt>
                <c:pt idx="73">
                  <c:v>14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12</c:v>
                </c:pt>
                <c:pt idx="85">
                  <c:v>12</c:v>
                </c:pt>
                <c:pt idx="86">
                  <c:v>10</c:v>
                </c:pt>
                <c:pt idx="87">
                  <c:v>9</c:v>
                </c:pt>
                <c:pt idx="88">
                  <c:v>12</c:v>
                </c:pt>
                <c:pt idx="89">
                  <c:v>10</c:v>
                </c:pt>
                <c:pt idx="90">
                  <c:v>8</c:v>
                </c:pt>
                <c:pt idx="91">
                  <c:v>8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8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11</c:v>
                </c:pt>
                <c:pt idx="120">
                  <c:v>11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14</c:v>
                </c:pt>
                <c:pt idx="125">
                  <c:v>7</c:v>
                </c:pt>
                <c:pt idx="126">
                  <c:v>11</c:v>
                </c:pt>
                <c:pt idx="127">
                  <c:v>7</c:v>
                </c:pt>
                <c:pt idx="128">
                  <c:v>10</c:v>
                </c:pt>
                <c:pt idx="129">
                  <c:v>6</c:v>
                </c:pt>
                <c:pt idx="130">
                  <c:v>6</c:v>
                </c:pt>
                <c:pt idx="131">
                  <c:v>8</c:v>
                </c:pt>
                <c:pt idx="132">
                  <c:v>8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14</c:v>
                </c:pt>
                <c:pt idx="143">
                  <c:v>7</c:v>
                </c:pt>
                <c:pt idx="144">
                  <c:v>14</c:v>
                </c:pt>
                <c:pt idx="145">
                  <c:v>7</c:v>
                </c:pt>
                <c:pt idx="146">
                  <c:v>14</c:v>
                </c:pt>
                <c:pt idx="147">
                  <c:v>10</c:v>
                </c:pt>
                <c:pt idx="148">
                  <c:v>14</c:v>
                </c:pt>
                <c:pt idx="149">
                  <c:v>10</c:v>
                </c:pt>
                <c:pt idx="150">
                  <c:v>14</c:v>
                </c:pt>
                <c:pt idx="151">
                  <c:v>10</c:v>
                </c:pt>
                <c:pt idx="152">
                  <c:v>9</c:v>
                </c:pt>
                <c:pt idx="153">
                  <c:v>9</c:v>
                </c:pt>
                <c:pt idx="154">
                  <c:v>6</c:v>
                </c:pt>
                <c:pt idx="155">
                  <c:v>6</c:v>
                </c:pt>
                <c:pt idx="156">
                  <c:v>11</c:v>
                </c:pt>
                <c:pt idx="157">
                  <c:v>6</c:v>
                </c:pt>
                <c:pt idx="158">
                  <c:v>11</c:v>
                </c:pt>
                <c:pt idx="159">
                  <c:v>12</c:v>
                </c:pt>
                <c:pt idx="160">
                  <c:v>6</c:v>
                </c:pt>
                <c:pt idx="161">
                  <c:v>12</c:v>
                </c:pt>
                <c:pt idx="162">
                  <c:v>11</c:v>
                </c:pt>
                <c:pt idx="163">
                  <c:v>6</c:v>
                </c:pt>
                <c:pt idx="164">
                  <c:v>11</c:v>
                </c:pt>
                <c:pt idx="165">
                  <c:v>6</c:v>
                </c:pt>
                <c:pt idx="166">
                  <c:v>6</c:v>
                </c:pt>
                <c:pt idx="167">
                  <c:v>11</c:v>
                </c:pt>
                <c:pt idx="168">
                  <c:v>6</c:v>
                </c:pt>
                <c:pt idx="169">
                  <c:v>6</c:v>
                </c:pt>
                <c:pt idx="170">
                  <c:v>11</c:v>
                </c:pt>
                <c:pt idx="171">
                  <c:v>11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9</c:v>
                </c:pt>
                <c:pt idx="181">
                  <c:v>14</c:v>
                </c:pt>
                <c:pt idx="182">
                  <c:v>7</c:v>
                </c:pt>
                <c:pt idx="183">
                  <c:v>14</c:v>
                </c:pt>
                <c:pt idx="184">
                  <c:v>9</c:v>
                </c:pt>
                <c:pt idx="185">
                  <c:v>14</c:v>
                </c:pt>
                <c:pt idx="186">
                  <c:v>9</c:v>
                </c:pt>
                <c:pt idx="187">
                  <c:v>7</c:v>
                </c:pt>
                <c:pt idx="188">
                  <c:v>9</c:v>
                </c:pt>
                <c:pt idx="189">
                  <c:v>14</c:v>
                </c:pt>
                <c:pt idx="190">
                  <c:v>14</c:v>
                </c:pt>
                <c:pt idx="191">
                  <c:v>7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12</c:v>
                </c:pt>
                <c:pt idx="196">
                  <c:v>12</c:v>
                </c:pt>
                <c:pt idx="197">
                  <c:v>8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12</c:v>
                </c:pt>
                <c:pt idx="204">
                  <c:v>8</c:v>
                </c:pt>
                <c:pt idx="205">
                  <c:v>10</c:v>
                </c:pt>
                <c:pt idx="206">
                  <c:v>6</c:v>
                </c:pt>
                <c:pt idx="207">
                  <c:v>8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12</c:v>
                </c:pt>
                <c:pt idx="219">
                  <c:v>10</c:v>
                </c:pt>
                <c:pt idx="220">
                  <c:v>10</c:v>
                </c:pt>
                <c:pt idx="221">
                  <c:v>12</c:v>
                </c:pt>
                <c:pt idx="222">
                  <c:v>10</c:v>
                </c:pt>
                <c:pt idx="223">
                  <c:v>10</c:v>
                </c:pt>
                <c:pt idx="224">
                  <c:v>12</c:v>
                </c:pt>
                <c:pt idx="225">
                  <c:v>12</c:v>
                </c:pt>
                <c:pt idx="226">
                  <c:v>10</c:v>
                </c:pt>
                <c:pt idx="227">
                  <c:v>12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14</c:v>
                </c:pt>
                <c:pt idx="237">
                  <c:v>8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5</c:v>
                </c:pt>
                <c:pt idx="243">
                  <c:v>10</c:v>
                </c:pt>
                <c:pt idx="244">
                  <c:v>11</c:v>
                </c:pt>
                <c:pt idx="245">
                  <c:v>11</c:v>
                </c:pt>
                <c:pt idx="246">
                  <c:v>5</c:v>
                </c:pt>
                <c:pt idx="247">
                  <c:v>9</c:v>
                </c:pt>
                <c:pt idx="248">
                  <c:v>12</c:v>
                </c:pt>
                <c:pt idx="249">
                  <c:v>9</c:v>
                </c:pt>
                <c:pt idx="250">
                  <c:v>12</c:v>
                </c:pt>
                <c:pt idx="251">
                  <c:v>12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9</c:v>
                </c:pt>
                <c:pt idx="256">
                  <c:v>9</c:v>
                </c:pt>
                <c:pt idx="257">
                  <c:v>12</c:v>
                </c:pt>
                <c:pt idx="258">
                  <c:v>12</c:v>
                </c:pt>
                <c:pt idx="259">
                  <c:v>9</c:v>
                </c:pt>
                <c:pt idx="260">
                  <c:v>6</c:v>
                </c:pt>
                <c:pt idx="261">
                  <c:v>9</c:v>
                </c:pt>
                <c:pt idx="262">
                  <c:v>9</c:v>
                </c:pt>
                <c:pt idx="263">
                  <c:v>12</c:v>
                </c:pt>
                <c:pt idx="264">
                  <c:v>9</c:v>
                </c:pt>
                <c:pt idx="265">
                  <c:v>9</c:v>
                </c:pt>
                <c:pt idx="266">
                  <c:v>12</c:v>
                </c:pt>
                <c:pt idx="267">
                  <c:v>9</c:v>
                </c:pt>
                <c:pt idx="268">
                  <c:v>12</c:v>
                </c:pt>
                <c:pt idx="269">
                  <c:v>9</c:v>
                </c:pt>
                <c:pt idx="270">
                  <c:v>12</c:v>
                </c:pt>
                <c:pt idx="271">
                  <c:v>9</c:v>
                </c:pt>
                <c:pt idx="272">
                  <c:v>6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10</c:v>
                </c:pt>
                <c:pt idx="281">
                  <c:v>4</c:v>
                </c:pt>
                <c:pt idx="282">
                  <c:v>4</c:v>
                </c:pt>
                <c:pt idx="283">
                  <c:v>10</c:v>
                </c:pt>
                <c:pt idx="284">
                  <c:v>5</c:v>
                </c:pt>
                <c:pt idx="285">
                  <c:v>5</c:v>
                </c:pt>
                <c:pt idx="286">
                  <c:v>10</c:v>
                </c:pt>
                <c:pt idx="287">
                  <c:v>10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9</c:v>
                </c:pt>
                <c:pt idx="292">
                  <c:v>9</c:v>
                </c:pt>
                <c:pt idx="293">
                  <c:v>11</c:v>
                </c:pt>
                <c:pt idx="294">
                  <c:v>14</c:v>
                </c:pt>
                <c:pt idx="295">
                  <c:v>14</c:v>
                </c:pt>
                <c:pt idx="296">
                  <c:v>7</c:v>
                </c:pt>
                <c:pt idx="297">
                  <c:v>7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7</c:v>
                </c:pt>
                <c:pt idx="303">
                  <c:v>12</c:v>
                </c:pt>
                <c:pt idx="304">
                  <c:v>8</c:v>
                </c:pt>
                <c:pt idx="305">
                  <c:v>12</c:v>
                </c:pt>
                <c:pt idx="306">
                  <c:v>12</c:v>
                </c:pt>
                <c:pt idx="307">
                  <c:v>8</c:v>
                </c:pt>
                <c:pt idx="308">
                  <c:v>12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9</c:v>
                </c:pt>
                <c:pt idx="324">
                  <c:v>6</c:v>
                </c:pt>
                <c:pt idx="325">
                  <c:v>10</c:v>
                </c:pt>
                <c:pt idx="326">
                  <c:v>10</c:v>
                </c:pt>
                <c:pt idx="327">
                  <c:v>9</c:v>
                </c:pt>
                <c:pt idx="328">
                  <c:v>9</c:v>
                </c:pt>
                <c:pt idx="329">
                  <c:v>10</c:v>
                </c:pt>
                <c:pt idx="330">
                  <c:v>5</c:v>
                </c:pt>
                <c:pt idx="331">
                  <c:v>9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9</c:v>
                </c:pt>
                <c:pt idx="337">
                  <c:v>8</c:v>
                </c:pt>
                <c:pt idx="338">
                  <c:v>11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7</c:v>
                </c:pt>
                <c:pt idx="343">
                  <c:v>6</c:v>
                </c:pt>
                <c:pt idx="344">
                  <c:v>12</c:v>
                </c:pt>
                <c:pt idx="345">
                  <c:v>12</c:v>
                </c:pt>
                <c:pt idx="346">
                  <c:v>7</c:v>
                </c:pt>
                <c:pt idx="347">
                  <c:v>12</c:v>
                </c:pt>
                <c:pt idx="348">
                  <c:v>7</c:v>
                </c:pt>
                <c:pt idx="349">
                  <c:v>6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7</c:v>
                </c:pt>
                <c:pt idx="355">
                  <c:v>14</c:v>
                </c:pt>
                <c:pt idx="356">
                  <c:v>7</c:v>
                </c:pt>
                <c:pt idx="357">
                  <c:v>12</c:v>
                </c:pt>
                <c:pt idx="358">
                  <c:v>7</c:v>
                </c:pt>
                <c:pt idx="359">
                  <c:v>12</c:v>
                </c:pt>
                <c:pt idx="360">
                  <c:v>7</c:v>
                </c:pt>
                <c:pt idx="361">
                  <c:v>7</c:v>
                </c:pt>
                <c:pt idx="362">
                  <c:v>6</c:v>
                </c:pt>
                <c:pt idx="363">
                  <c:v>7</c:v>
                </c:pt>
                <c:pt idx="364">
                  <c:v>12</c:v>
                </c:pt>
                <c:pt idx="365">
                  <c:v>7</c:v>
                </c:pt>
                <c:pt idx="366">
                  <c:v>7</c:v>
                </c:pt>
                <c:pt idx="367">
                  <c:v>14</c:v>
                </c:pt>
                <c:pt idx="368">
                  <c:v>7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14</c:v>
                </c:pt>
                <c:pt idx="375">
                  <c:v>6</c:v>
                </c:pt>
                <c:pt idx="376">
                  <c:v>12</c:v>
                </c:pt>
                <c:pt idx="377">
                  <c:v>12</c:v>
                </c:pt>
                <c:pt idx="378">
                  <c:v>6</c:v>
                </c:pt>
                <c:pt idx="379">
                  <c:v>7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10</c:v>
                </c:pt>
                <c:pt idx="385">
                  <c:v>10</c:v>
                </c:pt>
                <c:pt idx="386">
                  <c:v>4</c:v>
                </c:pt>
                <c:pt idx="387">
                  <c:v>10</c:v>
                </c:pt>
                <c:pt idx="388">
                  <c:v>8</c:v>
                </c:pt>
                <c:pt idx="389">
                  <c:v>8</c:v>
                </c:pt>
                <c:pt idx="390">
                  <c:v>4</c:v>
                </c:pt>
                <c:pt idx="391">
                  <c:v>4</c:v>
                </c:pt>
                <c:pt idx="392">
                  <c:v>10</c:v>
                </c:pt>
                <c:pt idx="393">
                  <c:v>8</c:v>
                </c:pt>
                <c:pt idx="394">
                  <c:v>10</c:v>
                </c:pt>
                <c:pt idx="395">
                  <c:v>8</c:v>
                </c:pt>
                <c:pt idx="396">
                  <c:v>13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7</c:v>
                </c:pt>
                <c:pt idx="406">
                  <c:v>3</c:v>
                </c:pt>
                <c:pt idx="407">
                  <c:v>3</c:v>
                </c:pt>
                <c:pt idx="408">
                  <c:v>5</c:v>
                </c:pt>
                <c:pt idx="409">
                  <c:v>3</c:v>
                </c:pt>
                <c:pt idx="410">
                  <c:v>5</c:v>
                </c:pt>
                <c:pt idx="411">
                  <c:v>6</c:v>
                </c:pt>
                <c:pt idx="412">
                  <c:v>8</c:v>
                </c:pt>
                <c:pt idx="413">
                  <c:v>6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6</c:v>
                </c:pt>
                <c:pt idx="418">
                  <c:v>6</c:v>
                </c:pt>
                <c:pt idx="419">
                  <c:v>12</c:v>
                </c:pt>
                <c:pt idx="420">
                  <c:v>12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8</c:v>
                </c:pt>
                <c:pt idx="426">
                  <c:v>8</c:v>
                </c:pt>
                <c:pt idx="427">
                  <c:v>12</c:v>
                </c:pt>
                <c:pt idx="428">
                  <c:v>4</c:v>
                </c:pt>
                <c:pt idx="429">
                  <c:v>6</c:v>
                </c:pt>
                <c:pt idx="430">
                  <c:v>6</c:v>
                </c:pt>
                <c:pt idx="431">
                  <c:v>8</c:v>
                </c:pt>
                <c:pt idx="432">
                  <c:v>6</c:v>
                </c:pt>
                <c:pt idx="433">
                  <c:v>6</c:v>
                </c:pt>
                <c:pt idx="434">
                  <c:v>8</c:v>
                </c:pt>
                <c:pt idx="435">
                  <c:v>6</c:v>
                </c:pt>
                <c:pt idx="436">
                  <c:v>4</c:v>
                </c:pt>
                <c:pt idx="437">
                  <c:v>4</c:v>
                </c:pt>
                <c:pt idx="438">
                  <c:v>7</c:v>
                </c:pt>
                <c:pt idx="439">
                  <c:v>14</c:v>
                </c:pt>
                <c:pt idx="440">
                  <c:v>14</c:v>
                </c:pt>
                <c:pt idx="441">
                  <c:v>10</c:v>
                </c:pt>
                <c:pt idx="442">
                  <c:v>5</c:v>
                </c:pt>
                <c:pt idx="443">
                  <c:v>5</c:v>
                </c:pt>
                <c:pt idx="444">
                  <c:v>10</c:v>
                </c:pt>
                <c:pt idx="445">
                  <c:v>10</c:v>
                </c:pt>
                <c:pt idx="446">
                  <c:v>5</c:v>
                </c:pt>
                <c:pt idx="447">
                  <c:v>14</c:v>
                </c:pt>
                <c:pt idx="448">
                  <c:v>5</c:v>
                </c:pt>
                <c:pt idx="449">
                  <c:v>7</c:v>
                </c:pt>
                <c:pt idx="450">
                  <c:v>5</c:v>
                </c:pt>
                <c:pt idx="451">
                  <c:v>5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14</c:v>
                </c:pt>
                <c:pt idx="456">
                  <c:v>7</c:v>
                </c:pt>
                <c:pt idx="457">
                  <c:v>10</c:v>
                </c:pt>
                <c:pt idx="458">
                  <c:v>11</c:v>
                </c:pt>
                <c:pt idx="459">
                  <c:v>11</c:v>
                </c:pt>
                <c:pt idx="460">
                  <c:v>3</c:v>
                </c:pt>
                <c:pt idx="461">
                  <c:v>6</c:v>
                </c:pt>
                <c:pt idx="462">
                  <c:v>11</c:v>
                </c:pt>
                <c:pt idx="463">
                  <c:v>6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8</c:v>
                </c:pt>
                <c:pt idx="469">
                  <c:v>9</c:v>
                </c:pt>
                <c:pt idx="470">
                  <c:v>9</c:v>
                </c:pt>
                <c:pt idx="471">
                  <c:v>7</c:v>
                </c:pt>
                <c:pt idx="472">
                  <c:v>9</c:v>
                </c:pt>
                <c:pt idx="473">
                  <c:v>7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7</c:v>
                </c:pt>
                <c:pt idx="479">
                  <c:v>9</c:v>
                </c:pt>
                <c:pt idx="480">
                  <c:v>7</c:v>
                </c:pt>
                <c:pt idx="481">
                  <c:v>7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6</c:v>
                </c:pt>
                <c:pt idx="489">
                  <c:v>4</c:v>
                </c:pt>
                <c:pt idx="490">
                  <c:v>5</c:v>
                </c:pt>
                <c:pt idx="491">
                  <c:v>5</c:v>
                </c:pt>
                <c:pt idx="492">
                  <c:v>10</c:v>
                </c:pt>
                <c:pt idx="493">
                  <c:v>5</c:v>
                </c:pt>
                <c:pt idx="494">
                  <c:v>6</c:v>
                </c:pt>
                <c:pt idx="495">
                  <c:v>6</c:v>
                </c:pt>
                <c:pt idx="496">
                  <c:v>12</c:v>
                </c:pt>
                <c:pt idx="497">
                  <c:v>5</c:v>
                </c:pt>
                <c:pt idx="498">
                  <c:v>3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10</c:v>
                </c:pt>
                <c:pt idx="504">
                  <c:v>5</c:v>
                </c:pt>
                <c:pt idx="505">
                  <c:v>5</c:v>
                </c:pt>
                <c:pt idx="506">
                  <c:v>12</c:v>
                </c:pt>
                <c:pt idx="507">
                  <c:v>5</c:v>
                </c:pt>
                <c:pt idx="508">
                  <c:v>3</c:v>
                </c:pt>
                <c:pt idx="509">
                  <c:v>5</c:v>
                </c:pt>
                <c:pt idx="510">
                  <c:v>4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6</c:v>
                </c:pt>
                <c:pt idx="515">
                  <c:v>6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3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7</c:v>
                </c:pt>
                <c:pt idx="524">
                  <c:v>7</c:v>
                </c:pt>
                <c:pt idx="525">
                  <c:v>14</c:v>
                </c:pt>
                <c:pt idx="526">
                  <c:v>14</c:v>
                </c:pt>
                <c:pt idx="527">
                  <c:v>8</c:v>
                </c:pt>
                <c:pt idx="528">
                  <c:v>14</c:v>
                </c:pt>
                <c:pt idx="529">
                  <c:v>14</c:v>
                </c:pt>
                <c:pt idx="530">
                  <c:v>7</c:v>
                </c:pt>
                <c:pt idx="531">
                  <c:v>14</c:v>
                </c:pt>
                <c:pt idx="532">
                  <c:v>7</c:v>
                </c:pt>
                <c:pt idx="533">
                  <c:v>8</c:v>
                </c:pt>
                <c:pt idx="534">
                  <c:v>8</c:v>
                </c:pt>
                <c:pt idx="535">
                  <c:v>7</c:v>
                </c:pt>
                <c:pt idx="536">
                  <c:v>5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5</c:v>
                </c:pt>
                <c:pt idx="543">
                  <c:v>11</c:v>
                </c:pt>
                <c:pt idx="544">
                  <c:v>5</c:v>
                </c:pt>
                <c:pt idx="545">
                  <c:v>11</c:v>
                </c:pt>
                <c:pt idx="546">
                  <c:v>9</c:v>
                </c:pt>
                <c:pt idx="547">
                  <c:v>6</c:v>
                </c:pt>
                <c:pt idx="548">
                  <c:v>3</c:v>
                </c:pt>
                <c:pt idx="549">
                  <c:v>6</c:v>
                </c:pt>
                <c:pt idx="550">
                  <c:v>3</c:v>
                </c:pt>
                <c:pt idx="551">
                  <c:v>6</c:v>
                </c:pt>
                <c:pt idx="552">
                  <c:v>9</c:v>
                </c:pt>
                <c:pt idx="553">
                  <c:v>9</c:v>
                </c:pt>
                <c:pt idx="554">
                  <c:v>6</c:v>
                </c:pt>
                <c:pt idx="555">
                  <c:v>13</c:v>
                </c:pt>
                <c:pt idx="556">
                  <c:v>13</c:v>
                </c:pt>
                <c:pt idx="557">
                  <c:v>13</c:v>
                </c:pt>
                <c:pt idx="558">
                  <c:v>10</c:v>
                </c:pt>
                <c:pt idx="559">
                  <c:v>5</c:v>
                </c:pt>
                <c:pt idx="560">
                  <c:v>5</c:v>
                </c:pt>
                <c:pt idx="561">
                  <c:v>2</c:v>
                </c:pt>
                <c:pt idx="562">
                  <c:v>5</c:v>
                </c:pt>
                <c:pt idx="563">
                  <c:v>2</c:v>
                </c:pt>
                <c:pt idx="564">
                  <c:v>10</c:v>
                </c:pt>
                <c:pt idx="565">
                  <c:v>10</c:v>
                </c:pt>
                <c:pt idx="566">
                  <c:v>2</c:v>
                </c:pt>
                <c:pt idx="567">
                  <c:v>2</c:v>
                </c:pt>
                <c:pt idx="568">
                  <c:v>14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14</c:v>
                </c:pt>
                <c:pt idx="573">
                  <c:v>7</c:v>
                </c:pt>
                <c:pt idx="574">
                  <c:v>7</c:v>
                </c:pt>
                <c:pt idx="575">
                  <c:v>12</c:v>
                </c:pt>
                <c:pt idx="576">
                  <c:v>4</c:v>
                </c:pt>
                <c:pt idx="577">
                  <c:v>8</c:v>
                </c:pt>
                <c:pt idx="578">
                  <c:v>4</c:v>
                </c:pt>
                <c:pt idx="579">
                  <c:v>6</c:v>
                </c:pt>
                <c:pt idx="580">
                  <c:v>4</c:v>
                </c:pt>
                <c:pt idx="581">
                  <c:v>6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6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12</c:v>
                </c:pt>
                <c:pt idx="591">
                  <c:v>4</c:v>
                </c:pt>
                <c:pt idx="592">
                  <c:v>4</c:v>
                </c:pt>
                <c:pt idx="593">
                  <c:v>13</c:v>
                </c:pt>
                <c:pt idx="594">
                  <c:v>13</c:v>
                </c:pt>
                <c:pt idx="595">
                  <c:v>13</c:v>
                </c:pt>
                <c:pt idx="596">
                  <c:v>13</c:v>
                </c:pt>
                <c:pt idx="597">
                  <c:v>13</c:v>
                </c:pt>
                <c:pt idx="598">
                  <c:v>13</c:v>
                </c:pt>
                <c:pt idx="599">
                  <c:v>13</c:v>
                </c:pt>
                <c:pt idx="600">
                  <c:v>13</c:v>
                </c:pt>
                <c:pt idx="601">
                  <c:v>13</c:v>
                </c:pt>
                <c:pt idx="602">
                  <c:v>13</c:v>
                </c:pt>
                <c:pt idx="603">
                  <c:v>13</c:v>
                </c:pt>
                <c:pt idx="604">
                  <c:v>3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9</c:v>
                </c:pt>
                <c:pt idx="610">
                  <c:v>5</c:v>
                </c:pt>
                <c:pt idx="611">
                  <c:v>9</c:v>
                </c:pt>
                <c:pt idx="612">
                  <c:v>3</c:v>
                </c:pt>
                <c:pt idx="613">
                  <c:v>3</c:v>
                </c:pt>
                <c:pt idx="614">
                  <c:v>5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2</c:v>
                </c:pt>
                <c:pt idx="620">
                  <c:v>11</c:v>
                </c:pt>
                <c:pt idx="621">
                  <c:v>11</c:v>
                </c:pt>
                <c:pt idx="622">
                  <c:v>4</c:v>
                </c:pt>
                <c:pt idx="623">
                  <c:v>11</c:v>
                </c:pt>
                <c:pt idx="624">
                  <c:v>11</c:v>
                </c:pt>
                <c:pt idx="625">
                  <c:v>4</c:v>
                </c:pt>
                <c:pt idx="626">
                  <c:v>6</c:v>
                </c:pt>
                <c:pt idx="627">
                  <c:v>7</c:v>
                </c:pt>
                <c:pt idx="628">
                  <c:v>6</c:v>
                </c:pt>
                <c:pt idx="629">
                  <c:v>3</c:v>
                </c:pt>
                <c:pt idx="630">
                  <c:v>12</c:v>
                </c:pt>
                <c:pt idx="631">
                  <c:v>12</c:v>
                </c:pt>
                <c:pt idx="632">
                  <c:v>7</c:v>
                </c:pt>
                <c:pt idx="633">
                  <c:v>6</c:v>
                </c:pt>
                <c:pt idx="634">
                  <c:v>12</c:v>
                </c:pt>
                <c:pt idx="635">
                  <c:v>6</c:v>
                </c:pt>
                <c:pt idx="636">
                  <c:v>6</c:v>
                </c:pt>
                <c:pt idx="637">
                  <c:v>4</c:v>
                </c:pt>
                <c:pt idx="638">
                  <c:v>2</c:v>
                </c:pt>
                <c:pt idx="639">
                  <c:v>8</c:v>
                </c:pt>
                <c:pt idx="640">
                  <c:v>8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2</c:v>
                </c:pt>
                <c:pt idx="645">
                  <c:v>5</c:v>
                </c:pt>
                <c:pt idx="646">
                  <c:v>2</c:v>
                </c:pt>
                <c:pt idx="647">
                  <c:v>2</c:v>
                </c:pt>
                <c:pt idx="648">
                  <c:v>5</c:v>
                </c:pt>
                <c:pt idx="649">
                  <c:v>2</c:v>
                </c:pt>
                <c:pt idx="650">
                  <c:v>2</c:v>
                </c:pt>
                <c:pt idx="651">
                  <c:v>8</c:v>
                </c:pt>
                <c:pt idx="652">
                  <c:v>2</c:v>
                </c:pt>
                <c:pt idx="653">
                  <c:v>5</c:v>
                </c:pt>
                <c:pt idx="654">
                  <c:v>13</c:v>
                </c:pt>
                <c:pt idx="655">
                  <c:v>13</c:v>
                </c:pt>
                <c:pt idx="656">
                  <c:v>11</c:v>
                </c:pt>
                <c:pt idx="657">
                  <c:v>11</c:v>
                </c:pt>
                <c:pt idx="658">
                  <c:v>11</c:v>
                </c:pt>
                <c:pt idx="659">
                  <c:v>3</c:v>
                </c:pt>
                <c:pt idx="660">
                  <c:v>12</c:v>
                </c:pt>
                <c:pt idx="661">
                  <c:v>2</c:v>
                </c:pt>
                <c:pt idx="662">
                  <c:v>9</c:v>
                </c:pt>
                <c:pt idx="663">
                  <c:v>3</c:v>
                </c:pt>
                <c:pt idx="664">
                  <c:v>4</c:v>
                </c:pt>
                <c:pt idx="665">
                  <c:v>3</c:v>
                </c:pt>
                <c:pt idx="666">
                  <c:v>3</c:v>
                </c:pt>
                <c:pt idx="667">
                  <c:v>6</c:v>
                </c:pt>
                <c:pt idx="668">
                  <c:v>3</c:v>
                </c:pt>
                <c:pt idx="669">
                  <c:v>3</c:v>
                </c:pt>
                <c:pt idx="670">
                  <c:v>4</c:v>
                </c:pt>
                <c:pt idx="671">
                  <c:v>9</c:v>
                </c:pt>
                <c:pt idx="672">
                  <c:v>3</c:v>
                </c:pt>
                <c:pt idx="673">
                  <c:v>12</c:v>
                </c:pt>
                <c:pt idx="674">
                  <c:v>2</c:v>
                </c:pt>
                <c:pt idx="675">
                  <c:v>3</c:v>
                </c:pt>
                <c:pt idx="676">
                  <c:v>3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2</c:v>
                </c:pt>
                <c:pt idx="682">
                  <c:v>12</c:v>
                </c:pt>
                <c:pt idx="683">
                  <c:v>9</c:v>
                </c:pt>
                <c:pt idx="684">
                  <c:v>3</c:v>
                </c:pt>
                <c:pt idx="685">
                  <c:v>3</c:v>
                </c:pt>
                <c:pt idx="686">
                  <c:v>6</c:v>
                </c:pt>
                <c:pt idx="687">
                  <c:v>3</c:v>
                </c:pt>
                <c:pt idx="688">
                  <c:v>12</c:v>
                </c:pt>
                <c:pt idx="689">
                  <c:v>5</c:v>
                </c:pt>
                <c:pt idx="690">
                  <c:v>10</c:v>
                </c:pt>
                <c:pt idx="691">
                  <c:v>5</c:v>
                </c:pt>
                <c:pt idx="692">
                  <c:v>5</c:v>
                </c:pt>
                <c:pt idx="693">
                  <c:v>10</c:v>
                </c:pt>
                <c:pt idx="694">
                  <c:v>5</c:v>
                </c:pt>
                <c:pt idx="695">
                  <c:v>5</c:v>
                </c:pt>
                <c:pt idx="696">
                  <c:v>10</c:v>
                </c:pt>
                <c:pt idx="697">
                  <c:v>5</c:v>
                </c:pt>
                <c:pt idx="698">
                  <c:v>10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10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10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10</c:v>
                </c:pt>
                <c:pt idx="712">
                  <c:v>5</c:v>
                </c:pt>
                <c:pt idx="713">
                  <c:v>5</c:v>
                </c:pt>
                <c:pt idx="714">
                  <c:v>7</c:v>
                </c:pt>
                <c:pt idx="715">
                  <c:v>3</c:v>
                </c:pt>
                <c:pt idx="716">
                  <c:v>11</c:v>
                </c:pt>
                <c:pt idx="717">
                  <c:v>3</c:v>
                </c:pt>
                <c:pt idx="718">
                  <c:v>11</c:v>
                </c:pt>
                <c:pt idx="719">
                  <c:v>3</c:v>
                </c:pt>
                <c:pt idx="720">
                  <c:v>13</c:v>
                </c:pt>
                <c:pt idx="721">
                  <c:v>8</c:v>
                </c:pt>
                <c:pt idx="722">
                  <c:v>8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2</c:v>
                </c:pt>
                <c:pt idx="734">
                  <c:v>6</c:v>
                </c:pt>
                <c:pt idx="735">
                  <c:v>2</c:v>
                </c:pt>
                <c:pt idx="736">
                  <c:v>3</c:v>
                </c:pt>
                <c:pt idx="737">
                  <c:v>12</c:v>
                </c:pt>
                <c:pt idx="738">
                  <c:v>12</c:v>
                </c:pt>
                <c:pt idx="739">
                  <c:v>3</c:v>
                </c:pt>
                <c:pt idx="740">
                  <c:v>12</c:v>
                </c:pt>
                <c:pt idx="741">
                  <c:v>12</c:v>
                </c:pt>
                <c:pt idx="742">
                  <c:v>6</c:v>
                </c:pt>
                <c:pt idx="743">
                  <c:v>2</c:v>
                </c:pt>
                <c:pt idx="744">
                  <c:v>3</c:v>
                </c:pt>
                <c:pt idx="745">
                  <c:v>10</c:v>
                </c:pt>
                <c:pt idx="746">
                  <c:v>3</c:v>
                </c:pt>
                <c:pt idx="747">
                  <c:v>2</c:v>
                </c:pt>
                <c:pt idx="748">
                  <c:v>5</c:v>
                </c:pt>
                <c:pt idx="749">
                  <c:v>3</c:v>
                </c:pt>
                <c:pt idx="750">
                  <c:v>2</c:v>
                </c:pt>
                <c:pt idx="751">
                  <c:v>5</c:v>
                </c:pt>
                <c:pt idx="752">
                  <c:v>12</c:v>
                </c:pt>
                <c:pt idx="753">
                  <c:v>5</c:v>
                </c:pt>
                <c:pt idx="754">
                  <c:v>5</c:v>
                </c:pt>
                <c:pt idx="755">
                  <c:v>2</c:v>
                </c:pt>
                <c:pt idx="756">
                  <c:v>10</c:v>
                </c:pt>
                <c:pt idx="757">
                  <c:v>6</c:v>
                </c:pt>
                <c:pt idx="758">
                  <c:v>4</c:v>
                </c:pt>
                <c:pt idx="759">
                  <c:v>8</c:v>
                </c:pt>
                <c:pt idx="760">
                  <c:v>8</c:v>
                </c:pt>
                <c:pt idx="761">
                  <c:v>4</c:v>
                </c:pt>
                <c:pt idx="762">
                  <c:v>4</c:v>
                </c:pt>
                <c:pt idx="763">
                  <c:v>2</c:v>
                </c:pt>
                <c:pt idx="764">
                  <c:v>2</c:v>
                </c:pt>
                <c:pt idx="765">
                  <c:v>4</c:v>
                </c:pt>
                <c:pt idx="766">
                  <c:v>4</c:v>
                </c:pt>
                <c:pt idx="767">
                  <c:v>8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8</c:v>
                </c:pt>
                <c:pt idx="772">
                  <c:v>8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9</c:v>
                </c:pt>
                <c:pt idx="781">
                  <c:v>3</c:v>
                </c:pt>
                <c:pt idx="782">
                  <c:v>5</c:v>
                </c:pt>
                <c:pt idx="783">
                  <c:v>10</c:v>
                </c:pt>
                <c:pt idx="784">
                  <c:v>5</c:v>
                </c:pt>
                <c:pt idx="785">
                  <c:v>10</c:v>
                </c:pt>
                <c:pt idx="786">
                  <c:v>1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2</c:v>
                </c:pt>
                <c:pt idx="793">
                  <c:v>2</c:v>
                </c:pt>
                <c:pt idx="794">
                  <c:v>4</c:v>
                </c:pt>
                <c:pt idx="795">
                  <c:v>3</c:v>
                </c:pt>
                <c:pt idx="796">
                  <c:v>6</c:v>
                </c:pt>
                <c:pt idx="797">
                  <c:v>8</c:v>
                </c:pt>
                <c:pt idx="798">
                  <c:v>6</c:v>
                </c:pt>
                <c:pt idx="799">
                  <c:v>2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6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4</c:v>
                </c:pt>
                <c:pt idx="811">
                  <c:v>2</c:v>
                </c:pt>
                <c:pt idx="812">
                  <c:v>9</c:v>
                </c:pt>
                <c:pt idx="813">
                  <c:v>9</c:v>
                </c:pt>
                <c:pt idx="814">
                  <c:v>9</c:v>
                </c:pt>
                <c:pt idx="815">
                  <c:v>9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3</c:v>
                </c:pt>
                <c:pt idx="820">
                  <c:v>3</c:v>
                </c:pt>
                <c:pt idx="821">
                  <c:v>6</c:v>
                </c:pt>
                <c:pt idx="822">
                  <c:v>6</c:v>
                </c:pt>
                <c:pt idx="823">
                  <c:v>3</c:v>
                </c:pt>
                <c:pt idx="824">
                  <c:v>6</c:v>
                </c:pt>
                <c:pt idx="825">
                  <c:v>6</c:v>
                </c:pt>
                <c:pt idx="826">
                  <c:v>7</c:v>
                </c:pt>
                <c:pt idx="827">
                  <c:v>3</c:v>
                </c:pt>
                <c:pt idx="828">
                  <c:v>6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7</c:v>
                </c:pt>
                <c:pt idx="833">
                  <c:v>5</c:v>
                </c:pt>
                <c:pt idx="834">
                  <c:v>5</c:v>
                </c:pt>
                <c:pt idx="835">
                  <c:v>4</c:v>
                </c:pt>
                <c:pt idx="836">
                  <c:v>2</c:v>
                </c:pt>
                <c:pt idx="837">
                  <c:v>2</c:v>
                </c:pt>
                <c:pt idx="838">
                  <c:v>4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5</c:v>
                </c:pt>
                <c:pt idx="844">
                  <c:v>4</c:v>
                </c:pt>
                <c:pt idx="845">
                  <c:v>5</c:v>
                </c:pt>
                <c:pt idx="846">
                  <c:v>1</c:v>
                </c:pt>
                <c:pt idx="847">
                  <c:v>2</c:v>
                </c:pt>
                <c:pt idx="848">
                  <c:v>2</c:v>
                </c:pt>
                <c:pt idx="849">
                  <c:v>6</c:v>
                </c:pt>
                <c:pt idx="850">
                  <c:v>6</c:v>
                </c:pt>
                <c:pt idx="851">
                  <c:v>2</c:v>
                </c:pt>
                <c:pt idx="852">
                  <c:v>1</c:v>
                </c:pt>
                <c:pt idx="853">
                  <c:v>1</c:v>
                </c:pt>
                <c:pt idx="854">
                  <c:v>2</c:v>
                </c:pt>
                <c:pt idx="855">
                  <c:v>2</c:v>
                </c:pt>
                <c:pt idx="856">
                  <c:v>6</c:v>
                </c:pt>
                <c:pt idx="857">
                  <c:v>3</c:v>
                </c:pt>
                <c:pt idx="858">
                  <c:v>1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7</c:v>
                </c:pt>
                <c:pt idx="865">
                  <c:v>7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7</c:v>
                </c:pt>
                <c:pt idx="871">
                  <c:v>5</c:v>
                </c:pt>
                <c:pt idx="872">
                  <c:v>7</c:v>
                </c:pt>
                <c:pt idx="873">
                  <c:v>7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4</c:v>
                </c:pt>
                <c:pt idx="878">
                  <c:v>2</c:v>
                </c:pt>
                <c:pt idx="879">
                  <c:v>2</c:v>
                </c:pt>
                <c:pt idx="880">
                  <c:v>6</c:v>
                </c:pt>
                <c:pt idx="881">
                  <c:v>6</c:v>
                </c:pt>
                <c:pt idx="882">
                  <c:v>5</c:v>
                </c:pt>
                <c:pt idx="883">
                  <c:v>5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6</c:v>
                </c:pt>
                <c:pt idx="888">
                  <c:v>1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1</c:v>
                </c:pt>
                <c:pt idx="893">
                  <c:v>4</c:v>
                </c:pt>
                <c:pt idx="894">
                  <c:v>2</c:v>
                </c:pt>
                <c:pt idx="895">
                  <c:v>2</c:v>
                </c:pt>
                <c:pt idx="896">
                  <c:v>4</c:v>
                </c:pt>
                <c:pt idx="897">
                  <c:v>2</c:v>
                </c:pt>
                <c:pt idx="898">
                  <c:v>2</c:v>
                </c:pt>
                <c:pt idx="899">
                  <c:v>1</c:v>
                </c:pt>
                <c:pt idx="900">
                  <c:v>4</c:v>
                </c:pt>
                <c:pt idx="901">
                  <c:v>4</c:v>
                </c:pt>
                <c:pt idx="902">
                  <c:v>2</c:v>
                </c:pt>
                <c:pt idx="903">
                  <c:v>4</c:v>
                </c:pt>
                <c:pt idx="904">
                  <c:v>4</c:v>
                </c:pt>
                <c:pt idx="905">
                  <c:v>5</c:v>
                </c:pt>
                <c:pt idx="906">
                  <c:v>5</c:v>
                </c:pt>
                <c:pt idx="907">
                  <c:v>2</c:v>
                </c:pt>
                <c:pt idx="908">
                  <c:v>1</c:v>
                </c:pt>
                <c:pt idx="909">
                  <c:v>4</c:v>
                </c:pt>
                <c:pt idx="910">
                  <c:v>2</c:v>
                </c:pt>
                <c:pt idx="911">
                  <c:v>1</c:v>
                </c:pt>
                <c:pt idx="912">
                  <c:v>1</c:v>
                </c:pt>
                <c:pt idx="913">
                  <c:v>2</c:v>
                </c:pt>
                <c:pt idx="914">
                  <c:v>3</c:v>
                </c:pt>
                <c:pt idx="915">
                  <c:v>4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3</c:v>
                </c:pt>
                <c:pt idx="923">
                  <c:v>1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4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1</c:v>
                </c:pt>
                <c:pt idx="937">
                  <c:v>4</c:v>
                </c:pt>
                <c:pt idx="938">
                  <c:v>2</c:v>
                </c:pt>
                <c:pt idx="939">
                  <c:v>2</c:v>
                </c:pt>
                <c:pt idx="940">
                  <c:v>1</c:v>
                </c:pt>
                <c:pt idx="941">
                  <c:v>1</c:v>
                </c:pt>
                <c:pt idx="942">
                  <c:v>3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2</c:v>
                </c:pt>
                <c:pt idx="950">
                  <c:v>1</c:v>
                </c:pt>
                <c:pt idx="951">
                  <c:v>2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2</c:v>
                </c:pt>
                <c:pt idx="957">
                  <c:v>1</c:v>
                </c:pt>
                <c:pt idx="958">
                  <c:v>2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2</c:v>
                </c:pt>
                <c:pt idx="963">
                  <c:v>1</c:v>
                </c:pt>
                <c:pt idx="964">
                  <c:v>2</c:v>
                </c:pt>
                <c:pt idx="965">
                  <c:v>1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1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1</c:v>
                </c:pt>
                <c:pt idx="980">
                  <c:v>2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dataset_prodejny_nabytek!$G$2:$G$1002</c:f>
              <c:numCache>
                <c:formatCode>General</c:formatCode>
                <c:ptCount val="1001"/>
                <c:pt idx="0">
                  <c:v>350000</c:v>
                </c:pt>
                <c:pt idx="1">
                  <c:v>350000</c:v>
                </c:pt>
                <c:pt idx="2">
                  <c:v>350000</c:v>
                </c:pt>
                <c:pt idx="3">
                  <c:v>350000</c:v>
                </c:pt>
                <c:pt idx="4">
                  <c:v>325000</c:v>
                </c:pt>
                <c:pt idx="5">
                  <c:v>325000</c:v>
                </c:pt>
                <c:pt idx="6">
                  <c:v>325000</c:v>
                </c:pt>
                <c:pt idx="7">
                  <c:v>308000</c:v>
                </c:pt>
                <c:pt idx="8">
                  <c:v>308000</c:v>
                </c:pt>
                <c:pt idx="9">
                  <c:v>308000</c:v>
                </c:pt>
                <c:pt idx="10">
                  <c:v>308000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286000</c:v>
                </c:pt>
                <c:pt idx="17">
                  <c:v>286000</c:v>
                </c:pt>
                <c:pt idx="18">
                  <c:v>280000</c:v>
                </c:pt>
                <c:pt idx="19">
                  <c:v>280000</c:v>
                </c:pt>
                <c:pt idx="20">
                  <c:v>275000</c:v>
                </c:pt>
                <c:pt idx="21">
                  <c:v>275000</c:v>
                </c:pt>
                <c:pt idx="22">
                  <c:v>275000</c:v>
                </c:pt>
                <c:pt idx="23">
                  <c:v>275000</c:v>
                </c:pt>
                <c:pt idx="24">
                  <c:v>264000</c:v>
                </c:pt>
                <c:pt idx="25">
                  <c:v>264000</c:v>
                </c:pt>
                <c:pt idx="26">
                  <c:v>264000</c:v>
                </c:pt>
                <c:pt idx="27">
                  <c:v>264000</c:v>
                </c:pt>
                <c:pt idx="28">
                  <c:v>264000</c:v>
                </c:pt>
                <c:pt idx="29">
                  <c:v>264000</c:v>
                </c:pt>
                <c:pt idx="30">
                  <c:v>264000</c:v>
                </c:pt>
                <c:pt idx="31">
                  <c:v>264000</c:v>
                </c:pt>
                <c:pt idx="32">
                  <c:v>260000</c:v>
                </c:pt>
                <c:pt idx="33">
                  <c:v>260000</c:v>
                </c:pt>
                <c:pt idx="34">
                  <c:v>260000</c:v>
                </c:pt>
                <c:pt idx="35">
                  <c:v>252000</c:v>
                </c:pt>
                <c:pt idx="36">
                  <c:v>252000</c:v>
                </c:pt>
                <c:pt idx="37">
                  <c:v>250000</c:v>
                </c:pt>
                <c:pt idx="38">
                  <c:v>240000</c:v>
                </c:pt>
                <c:pt idx="39">
                  <c:v>240000</c:v>
                </c:pt>
                <c:pt idx="40">
                  <c:v>240000</c:v>
                </c:pt>
                <c:pt idx="41">
                  <c:v>234000</c:v>
                </c:pt>
                <c:pt idx="42">
                  <c:v>234000</c:v>
                </c:pt>
                <c:pt idx="43">
                  <c:v>234000</c:v>
                </c:pt>
                <c:pt idx="44">
                  <c:v>234000</c:v>
                </c:pt>
                <c:pt idx="45">
                  <c:v>234000</c:v>
                </c:pt>
                <c:pt idx="46">
                  <c:v>220000</c:v>
                </c:pt>
                <c:pt idx="47">
                  <c:v>220000</c:v>
                </c:pt>
                <c:pt idx="48">
                  <c:v>220000</c:v>
                </c:pt>
                <c:pt idx="49">
                  <c:v>220000</c:v>
                </c:pt>
                <c:pt idx="50">
                  <c:v>220000</c:v>
                </c:pt>
                <c:pt idx="51">
                  <c:v>220000</c:v>
                </c:pt>
                <c:pt idx="52">
                  <c:v>220000</c:v>
                </c:pt>
                <c:pt idx="53">
                  <c:v>220000</c:v>
                </c:pt>
                <c:pt idx="54">
                  <c:v>216000</c:v>
                </c:pt>
                <c:pt idx="55">
                  <c:v>216000</c:v>
                </c:pt>
                <c:pt idx="56">
                  <c:v>216000</c:v>
                </c:pt>
                <c:pt idx="57">
                  <c:v>216000</c:v>
                </c:pt>
                <c:pt idx="58">
                  <c:v>216000</c:v>
                </c:pt>
                <c:pt idx="59">
                  <c:v>210000</c:v>
                </c:pt>
                <c:pt idx="60">
                  <c:v>210000</c:v>
                </c:pt>
                <c:pt idx="61">
                  <c:v>210000</c:v>
                </c:pt>
                <c:pt idx="62">
                  <c:v>200000</c:v>
                </c:pt>
                <c:pt idx="63">
                  <c:v>200000</c:v>
                </c:pt>
                <c:pt idx="64">
                  <c:v>200000</c:v>
                </c:pt>
                <c:pt idx="65">
                  <c:v>200000</c:v>
                </c:pt>
                <c:pt idx="66">
                  <c:v>200000</c:v>
                </c:pt>
                <c:pt idx="67">
                  <c:v>200000</c:v>
                </c:pt>
                <c:pt idx="68">
                  <c:v>200000</c:v>
                </c:pt>
                <c:pt idx="69">
                  <c:v>200000</c:v>
                </c:pt>
                <c:pt idx="70">
                  <c:v>198000</c:v>
                </c:pt>
                <c:pt idx="71">
                  <c:v>198000</c:v>
                </c:pt>
                <c:pt idx="72">
                  <c:v>196000</c:v>
                </c:pt>
                <c:pt idx="73">
                  <c:v>196000</c:v>
                </c:pt>
                <c:pt idx="74">
                  <c:v>195000</c:v>
                </c:pt>
                <c:pt idx="75">
                  <c:v>195000</c:v>
                </c:pt>
                <c:pt idx="76">
                  <c:v>195000</c:v>
                </c:pt>
                <c:pt idx="77">
                  <c:v>195000</c:v>
                </c:pt>
                <c:pt idx="78">
                  <c:v>195000</c:v>
                </c:pt>
                <c:pt idx="79">
                  <c:v>195000</c:v>
                </c:pt>
                <c:pt idx="80">
                  <c:v>182000</c:v>
                </c:pt>
                <c:pt idx="81">
                  <c:v>182000</c:v>
                </c:pt>
                <c:pt idx="82">
                  <c:v>182000</c:v>
                </c:pt>
                <c:pt idx="83">
                  <c:v>182000</c:v>
                </c:pt>
                <c:pt idx="84">
                  <c:v>180000</c:v>
                </c:pt>
                <c:pt idx="85">
                  <c:v>180000</c:v>
                </c:pt>
                <c:pt idx="86">
                  <c:v>180000</c:v>
                </c:pt>
                <c:pt idx="87">
                  <c:v>180000</c:v>
                </c:pt>
                <c:pt idx="88">
                  <c:v>180000</c:v>
                </c:pt>
                <c:pt idx="89">
                  <c:v>180000</c:v>
                </c:pt>
                <c:pt idx="90">
                  <c:v>176000</c:v>
                </c:pt>
                <c:pt idx="91">
                  <c:v>176000</c:v>
                </c:pt>
                <c:pt idx="92">
                  <c:v>175000</c:v>
                </c:pt>
                <c:pt idx="93">
                  <c:v>175000</c:v>
                </c:pt>
                <c:pt idx="94">
                  <c:v>175000</c:v>
                </c:pt>
                <c:pt idx="95">
                  <c:v>168000</c:v>
                </c:pt>
                <c:pt idx="96">
                  <c:v>168000</c:v>
                </c:pt>
                <c:pt idx="97">
                  <c:v>168000</c:v>
                </c:pt>
                <c:pt idx="98">
                  <c:v>168000</c:v>
                </c:pt>
                <c:pt idx="99">
                  <c:v>165000</c:v>
                </c:pt>
                <c:pt idx="100">
                  <c:v>165000</c:v>
                </c:pt>
                <c:pt idx="101">
                  <c:v>165000</c:v>
                </c:pt>
                <c:pt idx="102">
                  <c:v>165000</c:v>
                </c:pt>
                <c:pt idx="103">
                  <c:v>162000</c:v>
                </c:pt>
                <c:pt idx="104">
                  <c:v>162000</c:v>
                </c:pt>
                <c:pt idx="105">
                  <c:v>162000</c:v>
                </c:pt>
                <c:pt idx="106">
                  <c:v>160000</c:v>
                </c:pt>
                <c:pt idx="107">
                  <c:v>156000</c:v>
                </c:pt>
                <c:pt idx="108">
                  <c:v>156000</c:v>
                </c:pt>
                <c:pt idx="109">
                  <c:v>156000</c:v>
                </c:pt>
                <c:pt idx="110">
                  <c:v>156000</c:v>
                </c:pt>
                <c:pt idx="111">
                  <c:v>156000</c:v>
                </c:pt>
                <c:pt idx="112">
                  <c:v>156000</c:v>
                </c:pt>
                <c:pt idx="113">
                  <c:v>156000</c:v>
                </c:pt>
                <c:pt idx="114">
                  <c:v>156000</c:v>
                </c:pt>
                <c:pt idx="115">
                  <c:v>156000</c:v>
                </c:pt>
                <c:pt idx="116">
                  <c:v>156000</c:v>
                </c:pt>
                <c:pt idx="117">
                  <c:v>156000</c:v>
                </c:pt>
                <c:pt idx="118">
                  <c:v>156000</c:v>
                </c:pt>
                <c:pt idx="119">
                  <c:v>154000</c:v>
                </c:pt>
                <c:pt idx="120">
                  <c:v>154000</c:v>
                </c:pt>
                <c:pt idx="121">
                  <c:v>154000</c:v>
                </c:pt>
                <c:pt idx="122">
                  <c:v>154000</c:v>
                </c:pt>
                <c:pt idx="123">
                  <c:v>154000</c:v>
                </c:pt>
                <c:pt idx="124">
                  <c:v>154000</c:v>
                </c:pt>
                <c:pt idx="125">
                  <c:v>154000</c:v>
                </c:pt>
                <c:pt idx="126">
                  <c:v>154000</c:v>
                </c:pt>
                <c:pt idx="127">
                  <c:v>154000</c:v>
                </c:pt>
                <c:pt idx="128">
                  <c:v>150000</c:v>
                </c:pt>
                <c:pt idx="129">
                  <c:v>150000</c:v>
                </c:pt>
                <c:pt idx="130">
                  <c:v>150000</c:v>
                </c:pt>
                <c:pt idx="131">
                  <c:v>144000</c:v>
                </c:pt>
                <c:pt idx="132">
                  <c:v>144000</c:v>
                </c:pt>
                <c:pt idx="133">
                  <c:v>144000</c:v>
                </c:pt>
                <c:pt idx="134">
                  <c:v>144000</c:v>
                </c:pt>
                <c:pt idx="135">
                  <c:v>144000</c:v>
                </c:pt>
                <c:pt idx="136">
                  <c:v>144000</c:v>
                </c:pt>
                <c:pt idx="137">
                  <c:v>144000</c:v>
                </c:pt>
                <c:pt idx="138">
                  <c:v>144000</c:v>
                </c:pt>
                <c:pt idx="139">
                  <c:v>144000</c:v>
                </c:pt>
                <c:pt idx="140">
                  <c:v>144000</c:v>
                </c:pt>
                <c:pt idx="141">
                  <c:v>144000</c:v>
                </c:pt>
                <c:pt idx="142">
                  <c:v>140000</c:v>
                </c:pt>
                <c:pt idx="143">
                  <c:v>140000</c:v>
                </c:pt>
                <c:pt idx="144">
                  <c:v>140000</c:v>
                </c:pt>
                <c:pt idx="145">
                  <c:v>140000</c:v>
                </c:pt>
                <c:pt idx="146">
                  <c:v>140000</c:v>
                </c:pt>
                <c:pt idx="147">
                  <c:v>140000</c:v>
                </c:pt>
                <c:pt idx="148">
                  <c:v>140000</c:v>
                </c:pt>
                <c:pt idx="149">
                  <c:v>140000</c:v>
                </c:pt>
                <c:pt idx="150">
                  <c:v>140000</c:v>
                </c:pt>
                <c:pt idx="151">
                  <c:v>140000</c:v>
                </c:pt>
                <c:pt idx="152">
                  <c:v>135000</c:v>
                </c:pt>
                <c:pt idx="153">
                  <c:v>135000</c:v>
                </c:pt>
                <c:pt idx="154">
                  <c:v>132000</c:v>
                </c:pt>
                <c:pt idx="155">
                  <c:v>132000</c:v>
                </c:pt>
                <c:pt idx="156">
                  <c:v>132000</c:v>
                </c:pt>
                <c:pt idx="157">
                  <c:v>132000</c:v>
                </c:pt>
                <c:pt idx="158">
                  <c:v>132000</c:v>
                </c:pt>
                <c:pt idx="159">
                  <c:v>132000</c:v>
                </c:pt>
                <c:pt idx="160">
                  <c:v>132000</c:v>
                </c:pt>
                <c:pt idx="161">
                  <c:v>132000</c:v>
                </c:pt>
                <c:pt idx="162">
                  <c:v>132000</c:v>
                </c:pt>
                <c:pt idx="163">
                  <c:v>132000</c:v>
                </c:pt>
                <c:pt idx="164">
                  <c:v>132000</c:v>
                </c:pt>
                <c:pt idx="165">
                  <c:v>132000</c:v>
                </c:pt>
                <c:pt idx="166">
                  <c:v>132000</c:v>
                </c:pt>
                <c:pt idx="167">
                  <c:v>132000</c:v>
                </c:pt>
                <c:pt idx="168">
                  <c:v>132000</c:v>
                </c:pt>
                <c:pt idx="169">
                  <c:v>132000</c:v>
                </c:pt>
                <c:pt idx="170">
                  <c:v>132000</c:v>
                </c:pt>
                <c:pt idx="171">
                  <c:v>132000</c:v>
                </c:pt>
                <c:pt idx="172">
                  <c:v>130000</c:v>
                </c:pt>
                <c:pt idx="173">
                  <c:v>130000</c:v>
                </c:pt>
                <c:pt idx="174">
                  <c:v>130000</c:v>
                </c:pt>
                <c:pt idx="175">
                  <c:v>130000</c:v>
                </c:pt>
                <c:pt idx="176">
                  <c:v>130000</c:v>
                </c:pt>
                <c:pt idx="177">
                  <c:v>130000</c:v>
                </c:pt>
                <c:pt idx="178">
                  <c:v>130000</c:v>
                </c:pt>
                <c:pt idx="179">
                  <c:v>130000</c:v>
                </c:pt>
                <c:pt idx="180">
                  <c:v>126000</c:v>
                </c:pt>
                <c:pt idx="181">
                  <c:v>126000</c:v>
                </c:pt>
                <c:pt idx="182">
                  <c:v>126000</c:v>
                </c:pt>
                <c:pt idx="183">
                  <c:v>126000</c:v>
                </c:pt>
                <c:pt idx="184">
                  <c:v>126000</c:v>
                </c:pt>
                <c:pt idx="185">
                  <c:v>126000</c:v>
                </c:pt>
                <c:pt idx="186">
                  <c:v>126000</c:v>
                </c:pt>
                <c:pt idx="187">
                  <c:v>126000</c:v>
                </c:pt>
                <c:pt idx="188">
                  <c:v>126000</c:v>
                </c:pt>
                <c:pt idx="189">
                  <c:v>126000</c:v>
                </c:pt>
                <c:pt idx="190">
                  <c:v>126000</c:v>
                </c:pt>
                <c:pt idx="191">
                  <c:v>126000</c:v>
                </c:pt>
                <c:pt idx="192">
                  <c:v>125000</c:v>
                </c:pt>
                <c:pt idx="193">
                  <c:v>125000</c:v>
                </c:pt>
                <c:pt idx="194">
                  <c:v>125000</c:v>
                </c:pt>
                <c:pt idx="195">
                  <c:v>120000</c:v>
                </c:pt>
                <c:pt idx="196">
                  <c:v>120000</c:v>
                </c:pt>
                <c:pt idx="197">
                  <c:v>120000</c:v>
                </c:pt>
                <c:pt idx="198">
                  <c:v>120000</c:v>
                </c:pt>
                <c:pt idx="199">
                  <c:v>120000</c:v>
                </c:pt>
                <c:pt idx="200">
                  <c:v>120000</c:v>
                </c:pt>
                <c:pt idx="201">
                  <c:v>120000</c:v>
                </c:pt>
                <c:pt idx="202">
                  <c:v>120000</c:v>
                </c:pt>
                <c:pt idx="203">
                  <c:v>120000</c:v>
                </c:pt>
                <c:pt idx="204">
                  <c:v>120000</c:v>
                </c:pt>
                <c:pt idx="205">
                  <c:v>120000</c:v>
                </c:pt>
                <c:pt idx="206">
                  <c:v>120000</c:v>
                </c:pt>
                <c:pt idx="207">
                  <c:v>120000</c:v>
                </c:pt>
                <c:pt idx="208">
                  <c:v>120000</c:v>
                </c:pt>
                <c:pt idx="209">
                  <c:v>120000</c:v>
                </c:pt>
                <c:pt idx="210">
                  <c:v>120000</c:v>
                </c:pt>
                <c:pt idx="211">
                  <c:v>120000</c:v>
                </c:pt>
                <c:pt idx="212">
                  <c:v>120000</c:v>
                </c:pt>
                <c:pt idx="213">
                  <c:v>120000</c:v>
                </c:pt>
                <c:pt idx="214">
                  <c:v>120000</c:v>
                </c:pt>
                <c:pt idx="215">
                  <c:v>120000</c:v>
                </c:pt>
                <c:pt idx="216">
                  <c:v>120000</c:v>
                </c:pt>
                <c:pt idx="217">
                  <c:v>120000</c:v>
                </c:pt>
                <c:pt idx="218">
                  <c:v>120000</c:v>
                </c:pt>
                <c:pt idx="219">
                  <c:v>120000</c:v>
                </c:pt>
                <c:pt idx="220">
                  <c:v>120000</c:v>
                </c:pt>
                <c:pt idx="221">
                  <c:v>120000</c:v>
                </c:pt>
                <c:pt idx="222">
                  <c:v>120000</c:v>
                </c:pt>
                <c:pt idx="223">
                  <c:v>120000</c:v>
                </c:pt>
                <c:pt idx="224">
                  <c:v>120000</c:v>
                </c:pt>
                <c:pt idx="225">
                  <c:v>120000</c:v>
                </c:pt>
                <c:pt idx="226">
                  <c:v>120000</c:v>
                </c:pt>
                <c:pt idx="227">
                  <c:v>120000</c:v>
                </c:pt>
                <c:pt idx="228">
                  <c:v>117000</c:v>
                </c:pt>
                <c:pt idx="229">
                  <c:v>117000</c:v>
                </c:pt>
                <c:pt idx="230">
                  <c:v>117000</c:v>
                </c:pt>
                <c:pt idx="231">
                  <c:v>117000</c:v>
                </c:pt>
                <c:pt idx="232">
                  <c:v>117000</c:v>
                </c:pt>
                <c:pt idx="233">
                  <c:v>117000</c:v>
                </c:pt>
                <c:pt idx="234">
                  <c:v>117000</c:v>
                </c:pt>
                <c:pt idx="235">
                  <c:v>117000</c:v>
                </c:pt>
                <c:pt idx="236">
                  <c:v>112000</c:v>
                </c:pt>
                <c:pt idx="237">
                  <c:v>112000</c:v>
                </c:pt>
                <c:pt idx="238">
                  <c:v>110000</c:v>
                </c:pt>
                <c:pt idx="239">
                  <c:v>110000</c:v>
                </c:pt>
                <c:pt idx="240">
                  <c:v>110000</c:v>
                </c:pt>
                <c:pt idx="241">
                  <c:v>110000</c:v>
                </c:pt>
                <c:pt idx="242">
                  <c:v>110000</c:v>
                </c:pt>
                <c:pt idx="243">
                  <c:v>110000</c:v>
                </c:pt>
                <c:pt idx="244">
                  <c:v>110000</c:v>
                </c:pt>
                <c:pt idx="245">
                  <c:v>110000</c:v>
                </c:pt>
                <c:pt idx="246">
                  <c:v>110000</c:v>
                </c:pt>
                <c:pt idx="247">
                  <c:v>108000</c:v>
                </c:pt>
                <c:pt idx="248">
                  <c:v>108000</c:v>
                </c:pt>
                <c:pt idx="249">
                  <c:v>108000</c:v>
                </c:pt>
                <c:pt idx="250">
                  <c:v>108000</c:v>
                </c:pt>
                <c:pt idx="251">
                  <c:v>108000</c:v>
                </c:pt>
                <c:pt idx="252">
                  <c:v>108000</c:v>
                </c:pt>
                <c:pt idx="253">
                  <c:v>108000</c:v>
                </c:pt>
                <c:pt idx="254">
                  <c:v>108000</c:v>
                </c:pt>
                <c:pt idx="255">
                  <c:v>108000</c:v>
                </c:pt>
                <c:pt idx="256">
                  <c:v>108000</c:v>
                </c:pt>
                <c:pt idx="257">
                  <c:v>108000</c:v>
                </c:pt>
                <c:pt idx="258">
                  <c:v>108000</c:v>
                </c:pt>
                <c:pt idx="259">
                  <c:v>108000</c:v>
                </c:pt>
                <c:pt idx="260">
                  <c:v>108000</c:v>
                </c:pt>
                <c:pt idx="261">
                  <c:v>108000</c:v>
                </c:pt>
                <c:pt idx="262">
                  <c:v>108000</c:v>
                </c:pt>
                <c:pt idx="263">
                  <c:v>108000</c:v>
                </c:pt>
                <c:pt idx="264">
                  <c:v>108000</c:v>
                </c:pt>
                <c:pt idx="265">
                  <c:v>108000</c:v>
                </c:pt>
                <c:pt idx="266">
                  <c:v>108000</c:v>
                </c:pt>
                <c:pt idx="267">
                  <c:v>108000</c:v>
                </c:pt>
                <c:pt idx="268">
                  <c:v>108000</c:v>
                </c:pt>
                <c:pt idx="269">
                  <c:v>108000</c:v>
                </c:pt>
                <c:pt idx="270">
                  <c:v>108000</c:v>
                </c:pt>
                <c:pt idx="271">
                  <c:v>108000</c:v>
                </c:pt>
                <c:pt idx="272">
                  <c:v>108000</c:v>
                </c:pt>
                <c:pt idx="273">
                  <c:v>105000</c:v>
                </c:pt>
                <c:pt idx="274">
                  <c:v>105000</c:v>
                </c:pt>
                <c:pt idx="275">
                  <c:v>105000</c:v>
                </c:pt>
                <c:pt idx="276">
                  <c:v>105000</c:v>
                </c:pt>
                <c:pt idx="277">
                  <c:v>104000</c:v>
                </c:pt>
                <c:pt idx="278">
                  <c:v>104000</c:v>
                </c:pt>
                <c:pt idx="279">
                  <c:v>104000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99000</c:v>
                </c:pt>
                <c:pt idx="289">
                  <c:v>99000</c:v>
                </c:pt>
                <c:pt idx="290">
                  <c:v>99000</c:v>
                </c:pt>
                <c:pt idx="291">
                  <c:v>99000</c:v>
                </c:pt>
                <c:pt idx="292">
                  <c:v>99000</c:v>
                </c:pt>
                <c:pt idx="293">
                  <c:v>99000</c:v>
                </c:pt>
                <c:pt idx="294">
                  <c:v>98000</c:v>
                </c:pt>
                <c:pt idx="295">
                  <c:v>98000</c:v>
                </c:pt>
                <c:pt idx="296">
                  <c:v>98000</c:v>
                </c:pt>
                <c:pt idx="297">
                  <c:v>98000</c:v>
                </c:pt>
                <c:pt idx="298">
                  <c:v>98000</c:v>
                </c:pt>
                <c:pt idx="299">
                  <c:v>98000</c:v>
                </c:pt>
                <c:pt idx="300">
                  <c:v>98000</c:v>
                </c:pt>
                <c:pt idx="301">
                  <c:v>98000</c:v>
                </c:pt>
                <c:pt idx="302">
                  <c:v>98000</c:v>
                </c:pt>
                <c:pt idx="303">
                  <c:v>96000</c:v>
                </c:pt>
                <c:pt idx="304">
                  <c:v>96000</c:v>
                </c:pt>
                <c:pt idx="305">
                  <c:v>96000</c:v>
                </c:pt>
                <c:pt idx="306">
                  <c:v>96000</c:v>
                </c:pt>
                <c:pt idx="307">
                  <c:v>96000</c:v>
                </c:pt>
                <c:pt idx="308">
                  <c:v>96000</c:v>
                </c:pt>
                <c:pt idx="309">
                  <c:v>96000</c:v>
                </c:pt>
                <c:pt idx="310">
                  <c:v>96000</c:v>
                </c:pt>
                <c:pt idx="311">
                  <c:v>96000</c:v>
                </c:pt>
                <c:pt idx="312">
                  <c:v>96000</c:v>
                </c:pt>
                <c:pt idx="313">
                  <c:v>91000</c:v>
                </c:pt>
                <c:pt idx="314">
                  <c:v>91000</c:v>
                </c:pt>
                <c:pt idx="315">
                  <c:v>91000</c:v>
                </c:pt>
                <c:pt idx="316">
                  <c:v>91000</c:v>
                </c:pt>
                <c:pt idx="317">
                  <c:v>91000</c:v>
                </c:pt>
                <c:pt idx="318">
                  <c:v>91000</c:v>
                </c:pt>
                <c:pt idx="319">
                  <c:v>91000</c:v>
                </c:pt>
                <c:pt idx="320">
                  <c:v>91000</c:v>
                </c:pt>
                <c:pt idx="321">
                  <c:v>91000</c:v>
                </c:pt>
                <c:pt idx="322">
                  <c:v>91000</c:v>
                </c:pt>
                <c:pt idx="323">
                  <c:v>90000</c:v>
                </c:pt>
                <c:pt idx="324">
                  <c:v>90000</c:v>
                </c:pt>
                <c:pt idx="325">
                  <c:v>90000</c:v>
                </c:pt>
                <c:pt idx="326">
                  <c:v>90000</c:v>
                </c:pt>
                <c:pt idx="327">
                  <c:v>90000</c:v>
                </c:pt>
                <c:pt idx="328">
                  <c:v>90000</c:v>
                </c:pt>
                <c:pt idx="329">
                  <c:v>90000</c:v>
                </c:pt>
                <c:pt idx="330">
                  <c:v>90000</c:v>
                </c:pt>
                <c:pt idx="331">
                  <c:v>90000</c:v>
                </c:pt>
                <c:pt idx="332">
                  <c:v>90000</c:v>
                </c:pt>
                <c:pt idx="333">
                  <c:v>90000</c:v>
                </c:pt>
                <c:pt idx="334">
                  <c:v>90000</c:v>
                </c:pt>
                <c:pt idx="335">
                  <c:v>90000</c:v>
                </c:pt>
                <c:pt idx="336">
                  <c:v>90000</c:v>
                </c:pt>
                <c:pt idx="337">
                  <c:v>88000</c:v>
                </c:pt>
                <c:pt idx="338">
                  <c:v>88000</c:v>
                </c:pt>
                <c:pt idx="339">
                  <c:v>88000</c:v>
                </c:pt>
                <c:pt idx="340">
                  <c:v>88000</c:v>
                </c:pt>
                <c:pt idx="341">
                  <c:v>88000</c:v>
                </c:pt>
                <c:pt idx="342">
                  <c:v>84000</c:v>
                </c:pt>
                <c:pt idx="343">
                  <c:v>84000</c:v>
                </c:pt>
                <c:pt idx="344">
                  <c:v>84000</c:v>
                </c:pt>
                <c:pt idx="345">
                  <c:v>84000</c:v>
                </c:pt>
                <c:pt idx="346">
                  <c:v>84000</c:v>
                </c:pt>
                <c:pt idx="347">
                  <c:v>84000</c:v>
                </c:pt>
                <c:pt idx="348">
                  <c:v>84000</c:v>
                </c:pt>
                <c:pt idx="349">
                  <c:v>84000</c:v>
                </c:pt>
                <c:pt idx="350">
                  <c:v>84000</c:v>
                </c:pt>
                <c:pt idx="351">
                  <c:v>84000</c:v>
                </c:pt>
                <c:pt idx="352">
                  <c:v>84000</c:v>
                </c:pt>
                <c:pt idx="353">
                  <c:v>84000</c:v>
                </c:pt>
                <c:pt idx="354">
                  <c:v>84000</c:v>
                </c:pt>
                <c:pt idx="355">
                  <c:v>84000</c:v>
                </c:pt>
                <c:pt idx="356">
                  <c:v>84000</c:v>
                </c:pt>
                <c:pt idx="357">
                  <c:v>84000</c:v>
                </c:pt>
                <c:pt idx="358">
                  <c:v>84000</c:v>
                </c:pt>
                <c:pt idx="359">
                  <c:v>84000</c:v>
                </c:pt>
                <c:pt idx="360">
                  <c:v>84000</c:v>
                </c:pt>
                <c:pt idx="361">
                  <c:v>84000</c:v>
                </c:pt>
                <c:pt idx="362">
                  <c:v>84000</c:v>
                </c:pt>
                <c:pt idx="363">
                  <c:v>84000</c:v>
                </c:pt>
                <c:pt idx="364">
                  <c:v>84000</c:v>
                </c:pt>
                <c:pt idx="365">
                  <c:v>84000</c:v>
                </c:pt>
                <c:pt idx="366">
                  <c:v>84000</c:v>
                </c:pt>
                <c:pt idx="367">
                  <c:v>84000</c:v>
                </c:pt>
                <c:pt idx="368">
                  <c:v>84000</c:v>
                </c:pt>
                <c:pt idx="369">
                  <c:v>84000</c:v>
                </c:pt>
                <c:pt idx="370">
                  <c:v>84000</c:v>
                </c:pt>
                <c:pt idx="371">
                  <c:v>84000</c:v>
                </c:pt>
                <c:pt idx="372">
                  <c:v>84000</c:v>
                </c:pt>
                <c:pt idx="373">
                  <c:v>84000</c:v>
                </c:pt>
                <c:pt idx="374">
                  <c:v>84000</c:v>
                </c:pt>
                <c:pt idx="375">
                  <c:v>84000</c:v>
                </c:pt>
                <c:pt idx="376">
                  <c:v>84000</c:v>
                </c:pt>
                <c:pt idx="377">
                  <c:v>84000</c:v>
                </c:pt>
                <c:pt idx="378">
                  <c:v>84000</c:v>
                </c:pt>
                <c:pt idx="379">
                  <c:v>84000</c:v>
                </c:pt>
                <c:pt idx="380">
                  <c:v>81000</c:v>
                </c:pt>
                <c:pt idx="381">
                  <c:v>81000</c:v>
                </c:pt>
                <c:pt idx="382">
                  <c:v>81000</c:v>
                </c:pt>
                <c:pt idx="383">
                  <c:v>81000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80000</c:v>
                </c:pt>
                <c:pt idx="393">
                  <c:v>80000</c:v>
                </c:pt>
                <c:pt idx="394">
                  <c:v>80000</c:v>
                </c:pt>
                <c:pt idx="395">
                  <c:v>80000</c:v>
                </c:pt>
                <c:pt idx="396">
                  <c:v>78000</c:v>
                </c:pt>
                <c:pt idx="397">
                  <c:v>77000</c:v>
                </c:pt>
                <c:pt idx="398">
                  <c:v>77000</c:v>
                </c:pt>
                <c:pt idx="399">
                  <c:v>77000</c:v>
                </c:pt>
                <c:pt idx="400">
                  <c:v>77000</c:v>
                </c:pt>
                <c:pt idx="401">
                  <c:v>77000</c:v>
                </c:pt>
                <c:pt idx="402">
                  <c:v>77000</c:v>
                </c:pt>
                <c:pt idx="403">
                  <c:v>77000</c:v>
                </c:pt>
                <c:pt idx="404">
                  <c:v>77000</c:v>
                </c:pt>
                <c:pt idx="405">
                  <c:v>77000</c:v>
                </c:pt>
                <c:pt idx="406">
                  <c:v>75000</c:v>
                </c:pt>
                <c:pt idx="407">
                  <c:v>75000</c:v>
                </c:pt>
                <c:pt idx="408">
                  <c:v>75000</c:v>
                </c:pt>
                <c:pt idx="409">
                  <c:v>75000</c:v>
                </c:pt>
                <c:pt idx="410">
                  <c:v>75000</c:v>
                </c:pt>
                <c:pt idx="411">
                  <c:v>72000</c:v>
                </c:pt>
                <c:pt idx="412">
                  <c:v>72000</c:v>
                </c:pt>
                <c:pt idx="413">
                  <c:v>72000</c:v>
                </c:pt>
                <c:pt idx="414">
                  <c:v>72000</c:v>
                </c:pt>
                <c:pt idx="415">
                  <c:v>72000</c:v>
                </c:pt>
                <c:pt idx="416">
                  <c:v>72000</c:v>
                </c:pt>
                <c:pt idx="417">
                  <c:v>72000</c:v>
                </c:pt>
                <c:pt idx="418">
                  <c:v>72000</c:v>
                </c:pt>
                <c:pt idx="419">
                  <c:v>72000</c:v>
                </c:pt>
                <c:pt idx="420">
                  <c:v>72000</c:v>
                </c:pt>
                <c:pt idx="421">
                  <c:v>72000</c:v>
                </c:pt>
                <c:pt idx="422">
                  <c:v>72000</c:v>
                </c:pt>
                <c:pt idx="423">
                  <c:v>72000</c:v>
                </c:pt>
                <c:pt idx="424">
                  <c:v>72000</c:v>
                </c:pt>
                <c:pt idx="425">
                  <c:v>72000</c:v>
                </c:pt>
                <c:pt idx="426">
                  <c:v>72000</c:v>
                </c:pt>
                <c:pt idx="427">
                  <c:v>72000</c:v>
                </c:pt>
                <c:pt idx="428">
                  <c:v>72000</c:v>
                </c:pt>
                <c:pt idx="429">
                  <c:v>72000</c:v>
                </c:pt>
                <c:pt idx="430">
                  <c:v>72000</c:v>
                </c:pt>
                <c:pt idx="431">
                  <c:v>72000</c:v>
                </c:pt>
                <c:pt idx="432">
                  <c:v>72000</c:v>
                </c:pt>
                <c:pt idx="433">
                  <c:v>72000</c:v>
                </c:pt>
                <c:pt idx="434">
                  <c:v>72000</c:v>
                </c:pt>
                <c:pt idx="435">
                  <c:v>72000</c:v>
                </c:pt>
                <c:pt idx="436">
                  <c:v>72000</c:v>
                </c:pt>
                <c:pt idx="437">
                  <c:v>72000</c:v>
                </c:pt>
                <c:pt idx="438">
                  <c:v>70000</c:v>
                </c:pt>
                <c:pt idx="439">
                  <c:v>70000</c:v>
                </c:pt>
                <c:pt idx="440">
                  <c:v>70000</c:v>
                </c:pt>
                <c:pt idx="441">
                  <c:v>70000</c:v>
                </c:pt>
                <c:pt idx="442">
                  <c:v>70000</c:v>
                </c:pt>
                <c:pt idx="443">
                  <c:v>70000</c:v>
                </c:pt>
                <c:pt idx="444">
                  <c:v>70000</c:v>
                </c:pt>
                <c:pt idx="445">
                  <c:v>70000</c:v>
                </c:pt>
                <c:pt idx="446">
                  <c:v>70000</c:v>
                </c:pt>
                <c:pt idx="447">
                  <c:v>70000</c:v>
                </c:pt>
                <c:pt idx="448">
                  <c:v>70000</c:v>
                </c:pt>
                <c:pt idx="449">
                  <c:v>70000</c:v>
                </c:pt>
                <c:pt idx="450">
                  <c:v>70000</c:v>
                </c:pt>
                <c:pt idx="451">
                  <c:v>70000</c:v>
                </c:pt>
                <c:pt idx="452">
                  <c:v>70000</c:v>
                </c:pt>
                <c:pt idx="453">
                  <c:v>70000</c:v>
                </c:pt>
                <c:pt idx="454">
                  <c:v>70000</c:v>
                </c:pt>
                <c:pt idx="455">
                  <c:v>70000</c:v>
                </c:pt>
                <c:pt idx="456">
                  <c:v>70000</c:v>
                </c:pt>
                <c:pt idx="457">
                  <c:v>70000</c:v>
                </c:pt>
                <c:pt idx="458">
                  <c:v>66000</c:v>
                </c:pt>
                <c:pt idx="459">
                  <c:v>66000</c:v>
                </c:pt>
                <c:pt idx="460">
                  <c:v>66000</c:v>
                </c:pt>
                <c:pt idx="461">
                  <c:v>66000</c:v>
                </c:pt>
                <c:pt idx="462">
                  <c:v>66000</c:v>
                </c:pt>
                <c:pt idx="463">
                  <c:v>66000</c:v>
                </c:pt>
                <c:pt idx="464">
                  <c:v>65000</c:v>
                </c:pt>
                <c:pt idx="465">
                  <c:v>65000</c:v>
                </c:pt>
                <c:pt idx="466">
                  <c:v>65000</c:v>
                </c:pt>
                <c:pt idx="467">
                  <c:v>65000</c:v>
                </c:pt>
                <c:pt idx="468">
                  <c:v>64000</c:v>
                </c:pt>
                <c:pt idx="469">
                  <c:v>63000</c:v>
                </c:pt>
                <c:pt idx="470">
                  <c:v>63000</c:v>
                </c:pt>
                <c:pt idx="471">
                  <c:v>63000</c:v>
                </c:pt>
                <c:pt idx="472">
                  <c:v>63000</c:v>
                </c:pt>
                <c:pt idx="473">
                  <c:v>63000</c:v>
                </c:pt>
                <c:pt idx="474">
                  <c:v>63000</c:v>
                </c:pt>
                <c:pt idx="475">
                  <c:v>63000</c:v>
                </c:pt>
                <c:pt idx="476">
                  <c:v>63000</c:v>
                </c:pt>
                <c:pt idx="477">
                  <c:v>63000</c:v>
                </c:pt>
                <c:pt idx="478">
                  <c:v>63000</c:v>
                </c:pt>
                <c:pt idx="479">
                  <c:v>63000</c:v>
                </c:pt>
                <c:pt idx="480">
                  <c:v>63000</c:v>
                </c:pt>
                <c:pt idx="481">
                  <c:v>63000</c:v>
                </c:pt>
                <c:pt idx="482">
                  <c:v>60000</c:v>
                </c:pt>
                <c:pt idx="483">
                  <c:v>60000</c:v>
                </c:pt>
                <c:pt idx="484">
                  <c:v>60000</c:v>
                </c:pt>
                <c:pt idx="485">
                  <c:v>60000</c:v>
                </c:pt>
                <c:pt idx="486">
                  <c:v>60000</c:v>
                </c:pt>
                <c:pt idx="487">
                  <c:v>60000</c:v>
                </c:pt>
                <c:pt idx="488">
                  <c:v>60000</c:v>
                </c:pt>
                <c:pt idx="489">
                  <c:v>60000</c:v>
                </c:pt>
                <c:pt idx="490">
                  <c:v>60000</c:v>
                </c:pt>
                <c:pt idx="491">
                  <c:v>60000</c:v>
                </c:pt>
                <c:pt idx="492">
                  <c:v>60000</c:v>
                </c:pt>
                <c:pt idx="493">
                  <c:v>60000</c:v>
                </c:pt>
                <c:pt idx="494">
                  <c:v>60000</c:v>
                </c:pt>
                <c:pt idx="495">
                  <c:v>60000</c:v>
                </c:pt>
                <c:pt idx="496">
                  <c:v>60000</c:v>
                </c:pt>
                <c:pt idx="497">
                  <c:v>60000</c:v>
                </c:pt>
                <c:pt idx="498">
                  <c:v>60000</c:v>
                </c:pt>
                <c:pt idx="499">
                  <c:v>60000</c:v>
                </c:pt>
                <c:pt idx="500">
                  <c:v>60000</c:v>
                </c:pt>
                <c:pt idx="501">
                  <c:v>60000</c:v>
                </c:pt>
                <c:pt idx="502">
                  <c:v>60000</c:v>
                </c:pt>
                <c:pt idx="503">
                  <c:v>60000</c:v>
                </c:pt>
                <c:pt idx="504">
                  <c:v>60000</c:v>
                </c:pt>
                <c:pt idx="505">
                  <c:v>60000</c:v>
                </c:pt>
                <c:pt idx="506">
                  <c:v>60000</c:v>
                </c:pt>
                <c:pt idx="507">
                  <c:v>60000</c:v>
                </c:pt>
                <c:pt idx="508">
                  <c:v>60000</c:v>
                </c:pt>
                <c:pt idx="509">
                  <c:v>60000</c:v>
                </c:pt>
                <c:pt idx="510">
                  <c:v>60000</c:v>
                </c:pt>
                <c:pt idx="511">
                  <c:v>60000</c:v>
                </c:pt>
                <c:pt idx="512">
                  <c:v>60000</c:v>
                </c:pt>
                <c:pt idx="513">
                  <c:v>60000</c:v>
                </c:pt>
                <c:pt idx="514">
                  <c:v>60000</c:v>
                </c:pt>
                <c:pt idx="515">
                  <c:v>60000</c:v>
                </c:pt>
                <c:pt idx="516">
                  <c:v>60000</c:v>
                </c:pt>
                <c:pt idx="517">
                  <c:v>60000</c:v>
                </c:pt>
                <c:pt idx="518">
                  <c:v>60000</c:v>
                </c:pt>
                <c:pt idx="519">
                  <c:v>60000</c:v>
                </c:pt>
                <c:pt idx="520">
                  <c:v>56000</c:v>
                </c:pt>
                <c:pt idx="521">
                  <c:v>56000</c:v>
                </c:pt>
                <c:pt idx="522">
                  <c:v>56000</c:v>
                </c:pt>
                <c:pt idx="523">
                  <c:v>56000</c:v>
                </c:pt>
                <c:pt idx="524">
                  <c:v>56000</c:v>
                </c:pt>
                <c:pt idx="525">
                  <c:v>56000</c:v>
                </c:pt>
                <c:pt idx="526">
                  <c:v>56000</c:v>
                </c:pt>
                <c:pt idx="527">
                  <c:v>56000</c:v>
                </c:pt>
                <c:pt idx="528">
                  <c:v>56000</c:v>
                </c:pt>
                <c:pt idx="529">
                  <c:v>56000</c:v>
                </c:pt>
                <c:pt idx="530">
                  <c:v>56000</c:v>
                </c:pt>
                <c:pt idx="531">
                  <c:v>56000</c:v>
                </c:pt>
                <c:pt idx="532">
                  <c:v>56000</c:v>
                </c:pt>
                <c:pt idx="533">
                  <c:v>56000</c:v>
                </c:pt>
                <c:pt idx="534">
                  <c:v>56000</c:v>
                </c:pt>
                <c:pt idx="535">
                  <c:v>56000</c:v>
                </c:pt>
                <c:pt idx="536">
                  <c:v>55000</c:v>
                </c:pt>
                <c:pt idx="537">
                  <c:v>55000</c:v>
                </c:pt>
                <c:pt idx="538">
                  <c:v>55000</c:v>
                </c:pt>
                <c:pt idx="539">
                  <c:v>55000</c:v>
                </c:pt>
                <c:pt idx="540">
                  <c:v>55000</c:v>
                </c:pt>
                <c:pt idx="541">
                  <c:v>55000</c:v>
                </c:pt>
                <c:pt idx="542">
                  <c:v>55000</c:v>
                </c:pt>
                <c:pt idx="543">
                  <c:v>55000</c:v>
                </c:pt>
                <c:pt idx="544">
                  <c:v>55000</c:v>
                </c:pt>
                <c:pt idx="545">
                  <c:v>55000</c:v>
                </c:pt>
                <c:pt idx="546">
                  <c:v>54000</c:v>
                </c:pt>
                <c:pt idx="547">
                  <c:v>54000</c:v>
                </c:pt>
                <c:pt idx="548">
                  <c:v>54000</c:v>
                </c:pt>
                <c:pt idx="549">
                  <c:v>54000</c:v>
                </c:pt>
                <c:pt idx="550">
                  <c:v>54000</c:v>
                </c:pt>
                <c:pt idx="551">
                  <c:v>54000</c:v>
                </c:pt>
                <c:pt idx="552">
                  <c:v>54000</c:v>
                </c:pt>
                <c:pt idx="553">
                  <c:v>54000</c:v>
                </c:pt>
                <c:pt idx="554">
                  <c:v>54000</c:v>
                </c:pt>
                <c:pt idx="555">
                  <c:v>52000</c:v>
                </c:pt>
                <c:pt idx="556">
                  <c:v>52000</c:v>
                </c:pt>
                <c:pt idx="557">
                  <c:v>52000</c:v>
                </c:pt>
                <c:pt idx="558">
                  <c:v>50000</c:v>
                </c:pt>
                <c:pt idx="559">
                  <c:v>50000</c:v>
                </c:pt>
                <c:pt idx="560">
                  <c:v>50000</c:v>
                </c:pt>
                <c:pt idx="561">
                  <c:v>50000</c:v>
                </c:pt>
                <c:pt idx="562">
                  <c:v>50000</c:v>
                </c:pt>
                <c:pt idx="563">
                  <c:v>50000</c:v>
                </c:pt>
                <c:pt idx="564">
                  <c:v>50000</c:v>
                </c:pt>
                <c:pt idx="565">
                  <c:v>50000</c:v>
                </c:pt>
                <c:pt idx="566">
                  <c:v>50000</c:v>
                </c:pt>
                <c:pt idx="567">
                  <c:v>50000</c:v>
                </c:pt>
                <c:pt idx="568">
                  <c:v>49000</c:v>
                </c:pt>
                <c:pt idx="569">
                  <c:v>49000</c:v>
                </c:pt>
                <c:pt idx="570">
                  <c:v>49000</c:v>
                </c:pt>
                <c:pt idx="571">
                  <c:v>49000</c:v>
                </c:pt>
                <c:pt idx="572">
                  <c:v>49000</c:v>
                </c:pt>
                <c:pt idx="573">
                  <c:v>49000</c:v>
                </c:pt>
                <c:pt idx="574">
                  <c:v>49000</c:v>
                </c:pt>
                <c:pt idx="575">
                  <c:v>48000</c:v>
                </c:pt>
                <c:pt idx="576">
                  <c:v>48000</c:v>
                </c:pt>
                <c:pt idx="577">
                  <c:v>48000</c:v>
                </c:pt>
                <c:pt idx="578">
                  <c:v>48000</c:v>
                </c:pt>
                <c:pt idx="579">
                  <c:v>48000</c:v>
                </c:pt>
                <c:pt idx="580">
                  <c:v>48000</c:v>
                </c:pt>
                <c:pt idx="581">
                  <c:v>48000</c:v>
                </c:pt>
                <c:pt idx="582">
                  <c:v>48000</c:v>
                </c:pt>
                <c:pt idx="583">
                  <c:v>48000</c:v>
                </c:pt>
                <c:pt idx="584">
                  <c:v>48000</c:v>
                </c:pt>
                <c:pt idx="585">
                  <c:v>48000</c:v>
                </c:pt>
                <c:pt idx="586">
                  <c:v>48000</c:v>
                </c:pt>
                <c:pt idx="587">
                  <c:v>48000</c:v>
                </c:pt>
                <c:pt idx="588">
                  <c:v>48000</c:v>
                </c:pt>
                <c:pt idx="589">
                  <c:v>48000</c:v>
                </c:pt>
                <c:pt idx="590">
                  <c:v>48000</c:v>
                </c:pt>
                <c:pt idx="591">
                  <c:v>48000</c:v>
                </c:pt>
                <c:pt idx="592">
                  <c:v>48000</c:v>
                </c:pt>
                <c:pt idx="593">
                  <c:v>45500</c:v>
                </c:pt>
                <c:pt idx="594">
                  <c:v>45500</c:v>
                </c:pt>
                <c:pt idx="595">
                  <c:v>45500</c:v>
                </c:pt>
                <c:pt idx="596">
                  <c:v>45500</c:v>
                </c:pt>
                <c:pt idx="597">
                  <c:v>45500</c:v>
                </c:pt>
                <c:pt idx="598">
                  <c:v>45500</c:v>
                </c:pt>
                <c:pt idx="599">
                  <c:v>45500</c:v>
                </c:pt>
                <c:pt idx="600">
                  <c:v>45500</c:v>
                </c:pt>
                <c:pt idx="601">
                  <c:v>45500</c:v>
                </c:pt>
                <c:pt idx="602">
                  <c:v>45500</c:v>
                </c:pt>
                <c:pt idx="603">
                  <c:v>45500</c:v>
                </c:pt>
                <c:pt idx="604">
                  <c:v>45000</c:v>
                </c:pt>
                <c:pt idx="605">
                  <c:v>45000</c:v>
                </c:pt>
                <c:pt idx="606">
                  <c:v>45000</c:v>
                </c:pt>
                <c:pt idx="607">
                  <c:v>45000</c:v>
                </c:pt>
                <c:pt idx="608">
                  <c:v>45000</c:v>
                </c:pt>
                <c:pt idx="609">
                  <c:v>45000</c:v>
                </c:pt>
                <c:pt idx="610">
                  <c:v>45000</c:v>
                </c:pt>
                <c:pt idx="611">
                  <c:v>45000</c:v>
                </c:pt>
                <c:pt idx="612">
                  <c:v>45000</c:v>
                </c:pt>
                <c:pt idx="613">
                  <c:v>45000</c:v>
                </c:pt>
                <c:pt idx="614">
                  <c:v>45000</c:v>
                </c:pt>
                <c:pt idx="615">
                  <c:v>44000</c:v>
                </c:pt>
                <c:pt idx="616">
                  <c:v>44000</c:v>
                </c:pt>
                <c:pt idx="617">
                  <c:v>44000</c:v>
                </c:pt>
                <c:pt idx="618">
                  <c:v>44000</c:v>
                </c:pt>
                <c:pt idx="619">
                  <c:v>44000</c:v>
                </c:pt>
                <c:pt idx="620">
                  <c:v>44000</c:v>
                </c:pt>
                <c:pt idx="621">
                  <c:v>44000</c:v>
                </c:pt>
                <c:pt idx="622">
                  <c:v>44000</c:v>
                </c:pt>
                <c:pt idx="623">
                  <c:v>44000</c:v>
                </c:pt>
                <c:pt idx="624">
                  <c:v>44000</c:v>
                </c:pt>
                <c:pt idx="625">
                  <c:v>44000</c:v>
                </c:pt>
                <c:pt idx="626">
                  <c:v>42000</c:v>
                </c:pt>
                <c:pt idx="627">
                  <c:v>42000</c:v>
                </c:pt>
                <c:pt idx="628">
                  <c:v>42000</c:v>
                </c:pt>
                <c:pt idx="629">
                  <c:v>42000</c:v>
                </c:pt>
                <c:pt idx="630">
                  <c:v>42000</c:v>
                </c:pt>
                <c:pt idx="631">
                  <c:v>42000</c:v>
                </c:pt>
                <c:pt idx="632">
                  <c:v>42000</c:v>
                </c:pt>
                <c:pt idx="633">
                  <c:v>42000</c:v>
                </c:pt>
                <c:pt idx="634">
                  <c:v>42000</c:v>
                </c:pt>
                <c:pt idx="635">
                  <c:v>42000</c:v>
                </c:pt>
                <c:pt idx="636">
                  <c:v>42000</c:v>
                </c:pt>
                <c:pt idx="637">
                  <c:v>40000</c:v>
                </c:pt>
                <c:pt idx="638">
                  <c:v>40000</c:v>
                </c:pt>
                <c:pt idx="639">
                  <c:v>40000</c:v>
                </c:pt>
                <c:pt idx="640">
                  <c:v>40000</c:v>
                </c:pt>
                <c:pt idx="641">
                  <c:v>40000</c:v>
                </c:pt>
                <c:pt idx="642">
                  <c:v>40000</c:v>
                </c:pt>
                <c:pt idx="643">
                  <c:v>40000</c:v>
                </c:pt>
                <c:pt idx="644">
                  <c:v>40000</c:v>
                </c:pt>
                <c:pt idx="645">
                  <c:v>40000</c:v>
                </c:pt>
                <c:pt idx="646">
                  <c:v>40000</c:v>
                </c:pt>
                <c:pt idx="647">
                  <c:v>40000</c:v>
                </c:pt>
                <c:pt idx="648">
                  <c:v>40000</c:v>
                </c:pt>
                <c:pt idx="649">
                  <c:v>40000</c:v>
                </c:pt>
                <c:pt idx="650">
                  <c:v>40000</c:v>
                </c:pt>
                <c:pt idx="651">
                  <c:v>40000</c:v>
                </c:pt>
                <c:pt idx="652">
                  <c:v>40000</c:v>
                </c:pt>
                <c:pt idx="653">
                  <c:v>40000</c:v>
                </c:pt>
                <c:pt idx="654">
                  <c:v>39000</c:v>
                </c:pt>
                <c:pt idx="655">
                  <c:v>39000</c:v>
                </c:pt>
                <c:pt idx="656">
                  <c:v>38500</c:v>
                </c:pt>
                <c:pt idx="657">
                  <c:v>38500</c:v>
                </c:pt>
                <c:pt idx="658">
                  <c:v>38500</c:v>
                </c:pt>
                <c:pt idx="659">
                  <c:v>36000</c:v>
                </c:pt>
                <c:pt idx="660">
                  <c:v>36000</c:v>
                </c:pt>
                <c:pt idx="661">
                  <c:v>36000</c:v>
                </c:pt>
                <c:pt idx="662">
                  <c:v>36000</c:v>
                </c:pt>
                <c:pt idx="663">
                  <c:v>36000</c:v>
                </c:pt>
                <c:pt idx="664">
                  <c:v>36000</c:v>
                </c:pt>
                <c:pt idx="665">
                  <c:v>36000</c:v>
                </c:pt>
                <c:pt idx="666">
                  <c:v>36000</c:v>
                </c:pt>
                <c:pt idx="667">
                  <c:v>36000</c:v>
                </c:pt>
                <c:pt idx="668">
                  <c:v>36000</c:v>
                </c:pt>
                <c:pt idx="669">
                  <c:v>36000</c:v>
                </c:pt>
                <c:pt idx="670">
                  <c:v>36000</c:v>
                </c:pt>
                <c:pt idx="671">
                  <c:v>36000</c:v>
                </c:pt>
                <c:pt idx="672">
                  <c:v>36000</c:v>
                </c:pt>
                <c:pt idx="673">
                  <c:v>36000</c:v>
                </c:pt>
                <c:pt idx="674">
                  <c:v>36000</c:v>
                </c:pt>
                <c:pt idx="675">
                  <c:v>36000</c:v>
                </c:pt>
                <c:pt idx="676">
                  <c:v>36000</c:v>
                </c:pt>
                <c:pt idx="677">
                  <c:v>36000</c:v>
                </c:pt>
                <c:pt idx="678">
                  <c:v>36000</c:v>
                </c:pt>
                <c:pt idx="679">
                  <c:v>36000</c:v>
                </c:pt>
                <c:pt idx="680">
                  <c:v>36000</c:v>
                </c:pt>
                <c:pt idx="681">
                  <c:v>36000</c:v>
                </c:pt>
                <c:pt idx="682">
                  <c:v>36000</c:v>
                </c:pt>
                <c:pt idx="683">
                  <c:v>36000</c:v>
                </c:pt>
                <c:pt idx="684">
                  <c:v>36000</c:v>
                </c:pt>
                <c:pt idx="685">
                  <c:v>36000</c:v>
                </c:pt>
                <c:pt idx="686">
                  <c:v>36000</c:v>
                </c:pt>
                <c:pt idx="687">
                  <c:v>36000</c:v>
                </c:pt>
                <c:pt idx="688">
                  <c:v>36000</c:v>
                </c:pt>
                <c:pt idx="689">
                  <c:v>35000</c:v>
                </c:pt>
                <c:pt idx="690">
                  <c:v>35000</c:v>
                </c:pt>
                <c:pt idx="691">
                  <c:v>35000</c:v>
                </c:pt>
                <c:pt idx="692">
                  <c:v>35000</c:v>
                </c:pt>
                <c:pt idx="693">
                  <c:v>35000</c:v>
                </c:pt>
                <c:pt idx="694">
                  <c:v>35000</c:v>
                </c:pt>
                <c:pt idx="695">
                  <c:v>35000</c:v>
                </c:pt>
                <c:pt idx="696">
                  <c:v>35000</c:v>
                </c:pt>
                <c:pt idx="697">
                  <c:v>35000</c:v>
                </c:pt>
                <c:pt idx="698">
                  <c:v>35000</c:v>
                </c:pt>
                <c:pt idx="699">
                  <c:v>35000</c:v>
                </c:pt>
                <c:pt idx="700">
                  <c:v>35000</c:v>
                </c:pt>
                <c:pt idx="701">
                  <c:v>35000</c:v>
                </c:pt>
                <c:pt idx="702">
                  <c:v>35000</c:v>
                </c:pt>
                <c:pt idx="703">
                  <c:v>35000</c:v>
                </c:pt>
                <c:pt idx="704">
                  <c:v>35000</c:v>
                </c:pt>
                <c:pt idx="705">
                  <c:v>35000</c:v>
                </c:pt>
                <c:pt idx="706">
                  <c:v>35000</c:v>
                </c:pt>
                <c:pt idx="707">
                  <c:v>35000</c:v>
                </c:pt>
                <c:pt idx="708">
                  <c:v>35000</c:v>
                </c:pt>
                <c:pt idx="709">
                  <c:v>35000</c:v>
                </c:pt>
                <c:pt idx="710">
                  <c:v>35000</c:v>
                </c:pt>
                <c:pt idx="711">
                  <c:v>35000</c:v>
                </c:pt>
                <c:pt idx="712">
                  <c:v>35000</c:v>
                </c:pt>
                <c:pt idx="713">
                  <c:v>35000</c:v>
                </c:pt>
                <c:pt idx="714">
                  <c:v>35000</c:v>
                </c:pt>
                <c:pt idx="715">
                  <c:v>33000</c:v>
                </c:pt>
                <c:pt idx="716">
                  <c:v>33000</c:v>
                </c:pt>
                <c:pt idx="717">
                  <c:v>33000</c:v>
                </c:pt>
                <c:pt idx="718">
                  <c:v>33000</c:v>
                </c:pt>
                <c:pt idx="719">
                  <c:v>33000</c:v>
                </c:pt>
                <c:pt idx="720">
                  <c:v>32500</c:v>
                </c:pt>
                <c:pt idx="721">
                  <c:v>32000</c:v>
                </c:pt>
                <c:pt idx="722">
                  <c:v>32000</c:v>
                </c:pt>
                <c:pt idx="723">
                  <c:v>32000</c:v>
                </c:pt>
                <c:pt idx="724">
                  <c:v>32000</c:v>
                </c:pt>
                <c:pt idx="725">
                  <c:v>32000</c:v>
                </c:pt>
                <c:pt idx="726">
                  <c:v>31500</c:v>
                </c:pt>
                <c:pt idx="727">
                  <c:v>31500</c:v>
                </c:pt>
                <c:pt idx="728">
                  <c:v>31500</c:v>
                </c:pt>
                <c:pt idx="729">
                  <c:v>31500</c:v>
                </c:pt>
                <c:pt idx="730">
                  <c:v>31500</c:v>
                </c:pt>
                <c:pt idx="731">
                  <c:v>31500</c:v>
                </c:pt>
                <c:pt idx="732">
                  <c:v>31500</c:v>
                </c:pt>
                <c:pt idx="733">
                  <c:v>30000</c:v>
                </c:pt>
                <c:pt idx="734">
                  <c:v>30000</c:v>
                </c:pt>
                <c:pt idx="735">
                  <c:v>30000</c:v>
                </c:pt>
                <c:pt idx="736">
                  <c:v>30000</c:v>
                </c:pt>
                <c:pt idx="737">
                  <c:v>30000</c:v>
                </c:pt>
                <c:pt idx="738">
                  <c:v>30000</c:v>
                </c:pt>
                <c:pt idx="739">
                  <c:v>30000</c:v>
                </c:pt>
                <c:pt idx="740">
                  <c:v>30000</c:v>
                </c:pt>
                <c:pt idx="741">
                  <c:v>30000</c:v>
                </c:pt>
                <c:pt idx="742">
                  <c:v>30000</c:v>
                </c:pt>
                <c:pt idx="743">
                  <c:v>30000</c:v>
                </c:pt>
                <c:pt idx="744">
                  <c:v>30000</c:v>
                </c:pt>
                <c:pt idx="745">
                  <c:v>30000</c:v>
                </c:pt>
                <c:pt idx="746">
                  <c:v>30000</c:v>
                </c:pt>
                <c:pt idx="747">
                  <c:v>30000</c:v>
                </c:pt>
                <c:pt idx="748">
                  <c:v>30000</c:v>
                </c:pt>
                <c:pt idx="749">
                  <c:v>30000</c:v>
                </c:pt>
                <c:pt idx="750">
                  <c:v>30000</c:v>
                </c:pt>
                <c:pt idx="751">
                  <c:v>30000</c:v>
                </c:pt>
                <c:pt idx="752">
                  <c:v>30000</c:v>
                </c:pt>
                <c:pt idx="753">
                  <c:v>30000</c:v>
                </c:pt>
                <c:pt idx="754">
                  <c:v>30000</c:v>
                </c:pt>
                <c:pt idx="755">
                  <c:v>30000</c:v>
                </c:pt>
                <c:pt idx="756">
                  <c:v>30000</c:v>
                </c:pt>
                <c:pt idx="757">
                  <c:v>30000</c:v>
                </c:pt>
                <c:pt idx="758">
                  <c:v>28000</c:v>
                </c:pt>
                <c:pt idx="759">
                  <c:v>28000</c:v>
                </c:pt>
                <c:pt idx="760">
                  <c:v>28000</c:v>
                </c:pt>
                <c:pt idx="761">
                  <c:v>28000</c:v>
                </c:pt>
                <c:pt idx="762">
                  <c:v>28000</c:v>
                </c:pt>
                <c:pt idx="763">
                  <c:v>28000</c:v>
                </c:pt>
                <c:pt idx="764">
                  <c:v>28000</c:v>
                </c:pt>
                <c:pt idx="765">
                  <c:v>28000</c:v>
                </c:pt>
                <c:pt idx="766">
                  <c:v>28000</c:v>
                </c:pt>
                <c:pt idx="767">
                  <c:v>28000</c:v>
                </c:pt>
                <c:pt idx="768">
                  <c:v>28000</c:v>
                </c:pt>
                <c:pt idx="769">
                  <c:v>28000</c:v>
                </c:pt>
                <c:pt idx="770">
                  <c:v>28000</c:v>
                </c:pt>
                <c:pt idx="771">
                  <c:v>28000</c:v>
                </c:pt>
                <c:pt idx="772">
                  <c:v>28000</c:v>
                </c:pt>
                <c:pt idx="773">
                  <c:v>27500</c:v>
                </c:pt>
                <c:pt idx="774">
                  <c:v>27500</c:v>
                </c:pt>
                <c:pt idx="775">
                  <c:v>27500</c:v>
                </c:pt>
                <c:pt idx="776">
                  <c:v>27000</c:v>
                </c:pt>
                <c:pt idx="777">
                  <c:v>27000</c:v>
                </c:pt>
                <c:pt idx="778">
                  <c:v>27000</c:v>
                </c:pt>
                <c:pt idx="779">
                  <c:v>27000</c:v>
                </c:pt>
                <c:pt idx="780">
                  <c:v>27000</c:v>
                </c:pt>
                <c:pt idx="781">
                  <c:v>27000</c:v>
                </c:pt>
                <c:pt idx="782">
                  <c:v>25000</c:v>
                </c:pt>
                <c:pt idx="783">
                  <c:v>25000</c:v>
                </c:pt>
                <c:pt idx="784">
                  <c:v>25000</c:v>
                </c:pt>
                <c:pt idx="785">
                  <c:v>25000</c:v>
                </c:pt>
                <c:pt idx="786">
                  <c:v>25000</c:v>
                </c:pt>
                <c:pt idx="787">
                  <c:v>24500</c:v>
                </c:pt>
                <c:pt idx="788">
                  <c:v>24500</c:v>
                </c:pt>
                <c:pt idx="789">
                  <c:v>24500</c:v>
                </c:pt>
                <c:pt idx="790">
                  <c:v>24500</c:v>
                </c:pt>
                <c:pt idx="791">
                  <c:v>24500</c:v>
                </c:pt>
                <c:pt idx="792">
                  <c:v>24000</c:v>
                </c:pt>
                <c:pt idx="793">
                  <c:v>24000</c:v>
                </c:pt>
                <c:pt idx="794">
                  <c:v>24000</c:v>
                </c:pt>
                <c:pt idx="795">
                  <c:v>24000</c:v>
                </c:pt>
                <c:pt idx="796">
                  <c:v>24000</c:v>
                </c:pt>
                <c:pt idx="797">
                  <c:v>24000</c:v>
                </c:pt>
                <c:pt idx="798">
                  <c:v>24000</c:v>
                </c:pt>
                <c:pt idx="799">
                  <c:v>24000</c:v>
                </c:pt>
                <c:pt idx="800">
                  <c:v>24000</c:v>
                </c:pt>
                <c:pt idx="801">
                  <c:v>24000</c:v>
                </c:pt>
                <c:pt idx="802">
                  <c:v>24000</c:v>
                </c:pt>
                <c:pt idx="803">
                  <c:v>24000</c:v>
                </c:pt>
                <c:pt idx="804">
                  <c:v>24000</c:v>
                </c:pt>
                <c:pt idx="805">
                  <c:v>24000</c:v>
                </c:pt>
                <c:pt idx="806">
                  <c:v>24000</c:v>
                </c:pt>
                <c:pt idx="807">
                  <c:v>24000</c:v>
                </c:pt>
                <c:pt idx="808">
                  <c:v>24000</c:v>
                </c:pt>
                <c:pt idx="809">
                  <c:v>24000</c:v>
                </c:pt>
                <c:pt idx="810">
                  <c:v>24000</c:v>
                </c:pt>
                <c:pt idx="811">
                  <c:v>24000</c:v>
                </c:pt>
                <c:pt idx="812">
                  <c:v>22500</c:v>
                </c:pt>
                <c:pt idx="813">
                  <c:v>22500</c:v>
                </c:pt>
                <c:pt idx="814">
                  <c:v>22500</c:v>
                </c:pt>
                <c:pt idx="815">
                  <c:v>22500</c:v>
                </c:pt>
                <c:pt idx="816">
                  <c:v>22000</c:v>
                </c:pt>
                <c:pt idx="817">
                  <c:v>22000</c:v>
                </c:pt>
                <c:pt idx="818">
                  <c:v>22000</c:v>
                </c:pt>
                <c:pt idx="819">
                  <c:v>21000</c:v>
                </c:pt>
                <c:pt idx="820">
                  <c:v>21000</c:v>
                </c:pt>
                <c:pt idx="821">
                  <c:v>21000</c:v>
                </c:pt>
                <c:pt idx="822">
                  <c:v>21000</c:v>
                </c:pt>
                <c:pt idx="823">
                  <c:v>21000</c:v>
                </c:pt>
                <c:pt idx="824">
                  <c:v>21000</c:v>
                </c:pt>
                <c:pt idx="825">
                  <c:v>21000</c:v>
                </c:pt>
                <c:pt idx="826">
                  <c:v>21000</c:v>
                </c:pt>
                <c:pt idx="827">
                  <c:v>21000</c:v>
                </c:pt>
                <c:pt idx="828">
                  <c:v>21000</c:v>
                </c:pt>
                <c:pt idx="829">
                  <c:v>21000</c:v>
                </c:pt>
                <c:pt idx="830">
                  <c:v>21000</c:v>
                </c:pt>
                <c:pt idx="831">
                  <c:v>21000</c:v>
                </c:pt>
                <c:pt idx="832">
                  <c:v>21000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20000</c:v>
                </c:pt>
                <c:pt idx="841">
                  <c:v>20000</c:v>
                </c:pt>
                <c:pt idx="842">
                  <c:v>20000</c:v>
                </c:pt>
                <c:pt idx="843">
                  <c:v>20000</c:v>
                </c:pt>
                <c:pt idx="844">
                  <c:v>20000</c:v>
                </c:pt>
                <c:pt idx="845">
                  <c:v>20000</c:v>
                </c:pt>
                <c:pt idx="846">
                  <c:v>20000</c:v>
                </c:pt>
                <c:pt idx="847">
                  <c:v>18000</c:v>
                </c:pt>
                <c:pt idx="848">
                  <c:v>18000</c:v>
                </c:pt>
                <c:pt idx="849">
                  <c:v>18000</c:v>
                </c:pt>
                <c:pt idx="850">
                  <c:v>18000</c:v>
                </c:pt>
                <c:pt idx="851">
                  <c:v>18000</c:v>
                </c:pt>
                <c:pt idx="852">
                  <c:v>18000</c:v>
                </c:pt>
                <c:pt idx="853">
                  <c:v>18000</c:v>
                </c:pt>
                <c:pt idx="854">
                  <c:v>18000</c:v>
                </c:pt>
                <c:pt idx="855">
                  <c:v>18000</c:v>
                </c:pt>
                <c:pt idx="856">
                  <c:v>18000</c:v>
                </c:pt>
                <c:pt idx="857">
                  <c:v>18000</c:v>
                </c:pt>
                <c:pt idx="858">
                  <c:v>18000</c:v>
                </c:pt>
                <c:pt idx="859">
                  <c:v>18000</c:v>
                </c:pt>
                <c:pt idx="860">
                  <c:v>18000</c:v>
                </c:pt>
                <c:pt idx="861">
                  <c:v>18000</c:v>
                </c:pt>
                <c:pt idx="862">
                  <c:v>18000</c:v>
                </c:pt>
                <c:pt idx="863">
                  <c:v>18000</c:v>
                </c:pt>
                <c:pt idx="864">
                  <c:v>17500</c:v>
                </c:pt>
                <c:pt idx="865">
                  <c:v>17500</c:v>
                </c:pt>
                <c:pt idx="866">
                  <c:v>17500</c:v>
                </c:pt>
                <c:pt idx="867">
                  <c:v>17500</c:v>
                </c:pt>
                <c:pt idx="868">
                  <c:v>17500</c:v>
                </c:pt>
                <c:pt idx="869">
                  <c:v>17500</c:v>
                </c:pt>
                <c:pt idx="870">
                  <c:v>17500</c:v>
                </c:pt>
                <c:pt idx="871">
                  <c:v>17500</c:v>
                </c:pt>
                <c:pt idx="872">
                  <c:v>17500</c:v>
                </c:pt>
                <c:pt idx="873">
                  <c:v>17500</c:v>
                </c:pt>
                <c:pt idx="874">
                  <c:v>16000</c:v>
                </c:pt>
                <c:pt idx="875">
                  <c:v>16000</c:v>
                </c:pt>
                <c:pt idx="876">
                  <c:v>16000</c:v>
                </c:pt>
                <c:pt idx="877">
                  <c:v>16000</c:v>
                </c:pt>
                <c:pt idx="878">
                  <c:v>16000</c:v>
                </c:pt>
                <c:pt idx="879">
                  <c:v>16000</c:v>
                </c:pt>
                <c:pt idx="880">
                  <c:v>15000</c:v>
                </c:pt>
                <c:pt idx="881">
                  <c:v>15000</c:v>
                </c:pt>
                <c:pt idx="882">
                  <c:v>15000</c:v>
                </c:pt>
                <c:pt idx="883">
                  <c:v>15000</c:v>
                </c:pt>
                <c:pt idx="884">
                  <c:v>15000</c:v>
                </c:pt>
                <c:pt idx="885">
                  <c:v>15000</c:v>
                </c:pt>
                <c:pt idx="886">
                  <c:v>15000</c:v>
                </c:pt>
                <c:pt idx="887">
                  <c:v>15000</c:v>
                </c:pt>
                <c:pt idx="888">
                  <c:v>14000</c:v>
                </c:pt>
                <c:pt idx="889">
                  <c:v>14000</c:v>
                </c:pt>
                <c:pt idx="890">
                  <c:v>14000</c:v>
                </c:pt>
                <c:pt idx="891">
                  <c:v>14000</c:v>
                </c:pt>
                <c:pt idx="892">
                  <c:v>14000</c:v>
                </c:pt>
                <c:pt idx="893">
                  <c:v>14000</c:v>
                </c:pt>
                <c:pt idx="894">
                  <c:v>14000</c:v>
                </c:pt>
                <c:pt idx="895">
                  <c:v>14000</c:v>
                </c:pt>
                <c:pt idx="896">
                  <c:v>14000</c:v>
                </c:pt>
                <c:pt idx="897">
                  <c:v>14000</c:v>
                </c:pt>
                <c:pt idx="898">
                  <c:v>14000</c:v>
                </c:pt>
                <c:pt idx="899">
                  <c:v>14000</c:v>
                </c:pt>
                <c:pt idx="900">
                  <c:v>14000</c:v>
                </c:pt>
                <c:pt idx="901">
                  <c:v>14000</c:v>
                </c:pt>
                <c:pt idx="902">
                  <c:v>14000</c:v>
                </c:pt>
                <c:pt idx="903">
                  <c:v>14000</c:v>
                </c:pt>
                <c:pt idx="904">
                  <c:v>14000</c:v>
                </c:pt>
                <c:pt idx="905">
                  <c:v>12500</c:v>
                </c:pt>
                <c:pt idx="906">
                  <c:v>12500</c:v>
                </c:pt>
                <c:pt idx="907">
                  <c:v>12000</c:v>
                </c:pt>
                <c:pt idx="908">
                  <c:v>12000</c:v>
                </c:pt>
                <c:pt idx="909">
                  <c:v>12000</c:v>
                </c:pt>
                <c:pt idx="910">
                  <c:v>12000</c:v>
                </c:pt>
                <c:pt idx="911">
                  <c:v>12000</c:v>
                </c:pt>
                <c:pt idx="912">
                  <c:v>12000</c:v>
                </c:pt>
                <c:pt idx="913">
                  <c:v>12000</c:v>
                </c:pt>
                <c:pt idx="914">
                  <c:v>12000</c:v>
                </c:pt>
                <c:pt idx="915">
                  <c:v>12000</c:v>
                </c:pt>
                <c:pt idx="916">
                  <c:v>12000</c:v>
                </c:pt>
                <c:pt idx="917">
                  <c:v>12000</c:v>
                </c:pt>
                <c:pt idx="918">
                  <c:v>12000</c:v>
                </c:pt>
                <c:pt idx="919">
                  <c:v>12000</c:v>
                </c:pt>
                <c:pt idx="920">
                  <c:v>12000</c:v>
                </c:pt>
                <c:pt idx="921">
                  <c:v>12000</c:v>
                </c:pt>
                <c:pt idx="922">
                  <c:v>12000</c:v>
                </c:pt>
                <c:pt idx="923">
                  <c:v>12000</c:v>
                </c:pt>
                <c:pt idx="924">
                  <c:v>10500</c:v>
                </c:pt>
                <c:pt idx="925">
                  <c:v>10500</c:v>
                </c:pt>
                <c:pt idx="926">
                  <c:v>10500</c:v>
                </c:pt>
                <c:pt idx="927">
                  <c:v>10500</c:v>
                </c:pt>
                <c:pt idx="928">
                  <c:v>10500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9000</c:v>
                </c:pt>
                <c:pt idx="941">
                  <c:v>9000</c:v>
                </c:pt>
                <c:pt idx="942">
                  <c:v>9000</c:v>
                </c:pt>
                <c:pt idx="943">
                  <c:v>8000</c:v>
                </c:pt>
                <c:pt idx="944">
                  <c:v>8000</c:v>
                </c:pt>
                <c:pt idx="945">
                  <c:v>8000</c:v>
                </c:pt>
                <c:pt idx="946">
                  <c:v>7500</c:v>
                </c:pt>
                <c:pt idx="947">
                  <c:v>7500</c:v>
                </c:pt>
                <c:pt idx="948">
                  <c:v>7500</c:v>
                </c:pt>
                <c:pt idx="949">
                  <c:v>7000</c:v>
                </c:pt>
                <c:pt idx="950">
                  <c:v>7000</c:v>
                </c:pt>
                <c:pt idx="951">
                  <c:v>7000</c:v>
                </c:pt>
                <c:pt idx="952">
                  <c:v>7000</c:v>
                </c:pt>
                <c:pt idx="953">
                  <c:v>7000</c:v>
                </c:pt>
                <c:pt idx="954">
                  <c:v>7000</c:v>
                </c:pt>
                <c:pt idx="955">
                  <c:v>7000</c:v>
                </c:pt>
                <c:pt idx="956">
                  <c:v>7000</c:v>
                </c:pt>
                <c:pt idx="957">
                  <c:v>7000</c:v>
                </c:pt>
                <c:pt idx="958">
                  <c:v>7000</c:v>
                </c:pt>
                <c:pt idx="959">
                  <c:v>7000</c:v>
                </c:pt>
                <c:pt idx="960">
                  <c:v>7000</c:v>
                </c:pt>
                <c:pt idx="961">
                  <c:v>7000</c:v>
                </c:pt>
                <c:pt idx="962">
                  <c:v>6000</c:v>
                </c:pt>
                <c:pt idx="963">
                  <c:v>6000</c:v>
                </c:pt>
                <c:pt idx="964">
                  <c:v>6000</c:v>
                </c:pt>
                <c:pt idx="965">
                  <c:v>6000</c:v>
                </c:pt>
                <c:pt idx="966">
                  <c:v>6000</c:v>
                </c:pt>
                <c:pt idx="967">
                  <c:v>6000</c:v>
                </c:pt>
                <c:pt idx="968">
                  <c:v>6000</c:v>
                </c:pt>
                <c:pt idx="969">
                  <c:v>6000</c:v>
                </c:pt>
                <c:pt idx="970">
                  <c:v>6000</c:v>
                </c:pt>
                <c:pt idx="971">
                  <c:v>6000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4000</c:v>
                </c:pt>
                <c:pt idx="983">
                  <c:v>3500</c:v>
                </c:pt>
                <c:pt idx="984">
                  <c:v>3500</c:v>
                </c:pt>
                <c:pt idx="985">
                  <c:v>3500</c:v>
                </c:pt>
                <c:pt idx="986">
                  <c:v>3500</c:v>
                </c:pt>
                <c:pt idx="987">
                  <c:v>3500</c:v>
                </c:pt>
                <c:pt idx="988">
                  <c:v>3000</c:v>
                </c:pt>
                <c:pt idx="989">
                  <c:v>3000</c:v>
                </c:pt>
                <c:pt idx="990">
                  <c:v>3000</c:v>
                </c:pt>
                <c:pt idx="991">
                  <c:v>2500</c:v>
                </c:pt>
                <c:pt idx="992">
                  <c:v>2500</c:v>
                </c:pt>
                <c:pt idx="993">
                  <c:v>2500</c:v>
                </c:pt>
                <c:pt idx="994">
                  <c:v>2500</c:v>
                </c:pt>
                <c:pt idx="995">
                  <c:v>2500</c:v>
                </c:pt>
                <c:pt idx="996">
                  <c:v>2500</c:v>
                </c:pt>
                <c:pt idx="997">
                  <c:v>2500</c:v>
                </c:pt>
                <c:pt idx="998">
                  <c:v>2500</c:v>
                </c:pt>
                <c:pt idx="999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D-4558-9B97-C95B09932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09087"/>
        <c:axId val="620135343"/>
      </c:scatterChart>
      <c:valAx>
        <c:axId val="5863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kusů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35343"/>
        <c:crosses val="autoZero"/>
        <c:crossBetween val="midCat"/>
      </c:valAx>
      <c:valAx>
        <c:axId val="6201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  <a:p>
                <a:pPr>
                  <a:defRPr/>
                </a:pP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63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dataset_prodejny_nabytek!$H$1</c:f>
              <c:strCache>
                <c:ptCount val="1"/>
                <c:pt idx="0">
                  <c:v>Zisk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dataset_prodejny_nabytek!$G$2:$G$1002</c:f>
              <c:numCache>
                <c:formatCode>General</c:formatCode>
                <c:ptCount val="1001"/>
                <c:pt idx="0">
                  <c:v>350000</c:v>
                </c:pt>
                <c:pt idx="1">
                  <c:v>350000</c:v>
                </c:pt>
                <c:pt idx="2">
                  <c:v>350000</c:v>
                </c:pt>
                <c:pt idx="3">
                  <c:v>350000</c:v>
                </c:pt>
                <c:pt idx="4">
                  <c:v>325000</c:v>
                </c:pt>
                <c:pt idx="5">
                  <c:v>325000</c:v>
                </c:pt>
                <c:pt idx="6">
                  <c:v>325000</c:v>
                </c:pt>
                <c:pt idx="7">
                  <c:v>308000</c:v>
                </c:pt>
                <c:pt idx="8">
                  <c:v>308000</c:v>
                </c:pt>
                <c:pt idx="9">
                  <c:v>308000</c:v>
                </c:pt>
                <c:pt idx="10">
                  <c:v>308000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286000</c:v>
                </c:pt>
                <c:pt idx="17">
                  <c:v>286000</c:v>
                </c:pt>
                <c:pt idx="18">
                  <c:v>280000</c:v>
                </c:pt>
                <c:pt idx="19">
                  <c:v>280000</c:v>
                </c:pt>
                <c:pt idx="20">
                  <c:v>275000</c:v>
                </c:pt>
                <c:pt idx="21">
                  <c:v>275000</c:v>
                </c:pt>
                <c:pt idx="22">
                  <c:v>275000</c:v>
                </c:pt>
                <c:pt idx="23">
                  <c:v>275000</c:v>
                </c:pt>
                <c:pt idx="24">
                  <c:v>264000</c:v>
                </c:pt>
                <c:pt idx="25">
                  <c:v>264000</c:v>
                </c:pt>
                <c:pt idx="26">
                  <c:v>264000</c:v>
                </c:pt>
                <c:pt idx="27">
                  <c:v>264000</c:v>
                </c:pt>
                <c:pt idx="28">
                  <c:v>264000</c:v>
                </c:pt>
                <c:pt idx="29">
                  <c:v>264000</c:v>
                </c:pt>
                <c:pt idx="30">
                  <c:v>264000</c:v>
                </c:pt>
                <c:pt idx="31">
                  <c:v>264000</c:v>
                </c:pt>
                <c:pt idx="32">
                  <c:v>260000</c:v>
                </c:pt>
                <c:pt idx="33">
                  <c:v>260000</c:v>
                </c:pt>
                <c:pt idx="34">
                  <c:v>260000</c:v>
                </c:pt>
                <c:pt idx="35">
                  <c:v>252000</c:v>
                </c:pt>
                <c:pt idx="36">
                  <c:v>252000</c:v>
                </c:pt>
                <c:pt idx="37">
                  <c:v>250000</c:v>
                </c:pt>
                <c:pt idx="38">
                  <c:v>240000</c:v>
                </c:pt>
                <c:pt idx="39">
                  <c:v>240000</c:v>
                </c:pt>
                <c:pt idx="40">
                  <c:v>240000</c:v>
                </c:pt>
                <c:pt idx="41">
                  <c:v>234000</c:v>
                </c:pt>
                <c:pt idx="42">
                  <c:v>234000</c:v>
                </c:pt>
                <c:pt idx="43">
                  <c:v>234000</c:v>
                </c:pt>
                <c:pt idx="44">
                  <c:v>234000</c:v>
                </c:pt>
                <c:pt idx="45">
                  <c:v>234000</c:v>
                </c:pt>
                <c:pt idx="46">
                  <c:v>220000</c:v>
                </c:pt>
                <c:pt idx="47">
                  <c:v>220000</c:v>
                </c:pt>
                <c:pt idx="48">
                  <c:v>220000</c:v>
                </c:pt>
                <c:pt idx="49">
                  <c:v>220000</c:v>
                </c:pt>
                <c:pt idx="50">
                  <c:v>220000</c:v>
                </c:pt>
                <c:pt idx="51">
                  <c:v>220000</c:v>
                </c:pt>
                <c:pt idx="52">
                  <c:v>220000</c:v>
                </c:pt>
                <c:pt idx="53">
                  <c:v>220000</c:v>
                </c:pt>
                <c:pt idx="54">
                  <c:v>216000</c:v>
                </c:pt>
                <c:pt idx="55">
                  <c:v>216000</c:v>
                </c:pt>
                <c:pt idx="56">
                  <c:v>216000</c:v>
                </c:pt>
                <c:pt idx="57">
                  <c:v>216000</c:v>
                </c:pt>
                <c:pt idx="58">
                  <c:v>216000</c:v>
                </c:pt>
                <c:pt idx="59">
                  <c:v>210000</c:v>
                </c:pt>
                <c:pt idx="60">
                  <c:v>210000</c:v>
                </c:pt>
                <c:pt idx="61">
                  <c:v>210000</c:v>
                </c:pt>
                <c:pt idx="62">
                  <c:v>200000</c:v>
                </c:pt>
                <c:pt idx="63">
                  <c:v>200000</c:v>
                </c:pt>
                <c:pt idx="64">
                  <c:v>200000</c:v>
                </c:pt>
                <c:pt idx="65">
                  <c:v>200000</c:v>
                </c:pt>
                <c:pt idx="66">
                  <c:v>200000</c:v>
                </c:pt>
                <c:pt idx="67">
                  <c:v>200000</c:v>
                </c:pt>
                <c:pt idx="68">
                  <c:v>200000</c:v>
                </c:pt>
                <c:pt idx="69">
                  <c:v>200000</c:v>
                </c:pt>
                <c:pt idx="70">
                  <c:v>198000</c:v>
                </c:pt>
                <c:pt idx="71">
                  <c:v>198000</c:v>
                </c:pt>
                <c:pt idx="72">
                  <c:v>196000</c:v>
                </c:pt>
                <c:pt idx="73">
                  <c:v>196000</c:v>
                </c:pt>
                <c:pt idx="74">
                  <c:v>195000</c:v>
                </c:pt>
                <c:pt idx="75">
                  <c:v>195000</c:v>
                </c:pt>
                <c:pt idx="76">
                  <c:v>195000</c:v>
                </c:pt>
                <c:pt idx="77">
                  <c:v>195000</c:v>
                </c:pt>
                <c:pt idx="78">
                  <c:v>195000</c:v>
                </c:pt>
                <c:pt idx="79">
                  <c:v>195000</c:v>
                </c:pt>
                <c:pt idx="80">
                  <c:v>182000</c:v>
                </c:pt>
                <c:pt idx="81">
                  <c:v>182000</c:v>
                </c:pt>
                <c:pt idx="82">
                  <c:v>182000</c:v>
                </c:pt>
                <c:pt idx="83">
                  <c:v>182000</c:v>
                </c:pt>
                <c:pt idx="84">
                  <c:v>180000</c:v>
                </c:pt>
                <c:pt idx="85">
                  <c:v>180000</c:v>
                </c:pt>
                <c:pt idx="86">
                  <c:v>180000</c:v>
                </c:pt>
                <c:pt idx="87">
                  <c:v>180000</c:v>
                </c:pt>
                <c:pt idx="88">
                  <c:v>180000</c:v>
                </c:pt>
                <c:pt idx="89">
                  <c:v>180000</c:v>
                </c:pt>
                <c:pt idx="90">
                  <c:v>176000</c:v>
                </c:pt>
                <c:pt idx="91">
                  <c:v>176000</c:v>
                </c:pt>
                <c:pt idx="92">
                  <c:v>175000</c:v>
                </c:pt>
                <c:pt idx="93">
                  <c:v>175000</c:v>
                </c:pt>
                <c:pt idx="94">
                  <c:v>175000</c:v>
                </c:pt>
                <c:pt idx="95">
                  <c:v>168000</c:v>
                </c:pt>
                <c:pt idx="96">
                  <c:v>168000</c:v>
                </c:pt>
                <c:pt idx="97">
                  <c:v>168000</c:v>
                </c:pt>
                <c:pt idx="98">
                  <c:v>168000</c:v>
                </c:pt>
                <c:pt idx="99">
                  <c:v>165000</c:v>
                </c:pt>
                <c:pt idx="100">
                  <c:v>165000</c:v>
                </c:pt>
                <c:pt idx="101">
                  <c:v>165000</c:v>
                </c:pt>
                <c:pt idx="102">
                  <c:v>165000</c:v>
                </c:pt>
                <c:pt idx="103">
                  <c:v>162000</c:v>
                </c:pt>
                <c:pt idx="104">
                  <c:v>162000</c:v>
                </c:pt>
                <c:pt idx="105">
                  <c:v>162000</c:v>
                </c:pt>
                <c:pt idx="106">
                  <c:v>160000</c:v>
                </c:pt>
                <c:pt idx="107">
                  <c:v>156000</c:v>
                </c:pt>
                <c:pt idx="108">
                  <c:v>156000</c:v>
                </c:pt>
                <c:pt idx="109">
                  <c:v>156000</c:v>
                </c:pt>
                <c:pt idx="110">
                  <c:v>156000</c:v>
                </c:pt>
                <c:pt idx="111">
                  <c:v>156000</c:v>
                </c:pt>
                <c:pt idx="112">
                  <c:v>156000</c:v>
                </c:pt>
                <c:pt idx="113">
                  <c:v>156000</c:v>
                </c:pt>
                <c:pt idx="114">
                  <c:v>156000</c:v>
                </c:pt>
                <c:pt idx="115">
                  <c:v>156000</c:v>
                </c:pt>
                <c:pt idx="116">
                  <c:v>156000</c:v>
                </c:pt>
                <c:pt idx="117">
                  <c:v>156000</c:v>
                </c:pt>
                <c:pt idx="118">
                  <c:v>156000</c:v>
                </c:pt>
                <c:pt idx="119">
                  <c:v>154000</c:v>
                </c:pt>
                <c:pt idx="120">
                  <c:v>154000</c:v>
                </c:pt>
                <c:pt idx="121">
                  <c:v>154000</c:v>
                </c:pt>
                <c:pt idx="122">
                  <c:v>154000</c:v>
                </c:pt>
                <c:pt idx="123">
                  <c:v>154000</c:v>
                </c:pt>
                <c:pt idx="124">
                  <c:v>154000</c:v>
                </c:pt>
                <c:pt idx="125">
                  <c:v>154000</c:v>
                </c:pt>
                <c:pt idx="126">
                  <c:v>154000</c:v>
                </c:pt>
                <c:pt idx="127">
                  <c:v>154000</c:v>
                </c:pt>
                <c:pt idx="128">
                  <c:v>150000</c:v>
                </c:pt>
                <c:pt idx="129">
                  <c:v>150000</c:v>
                </c:pt>
                <c:pt idx="130">
                  <c:v>150000</c:v>
                </c:pt>
                <c:pt idx="131">
                  <c:v>144000</c:v>
                </c:pt>
                <c:pt idx="132">
                  <c:v>144000</c:v>
                </c:pt>
                <c:pt idx="133">
                  <c:v>144000</c:v>
                </c:pt>
                <c:pt idx="134">
                  <c:v>144000</c:v>
                </c:pt>
                <c:pt idx="135">
                  <c:v>144000</c:v>
                </c:pt>
                <c:pt idx="136">
                  <c:v>144000</c:v>
                </c:pt>
                <c:pt idx="137">
                  <c:v>144000</c:v>
                </c:pt>
                <c:pt idx="138">
                  <c:v>144000</c:v>
                </c:pt>
                <c:pt idx="139">
                  <c:v>144000</c:v>
                </c:pt>
                <c:pt idx="140">
                  <c:v>144000</c:v>
                </c:pt>
                <c:pt idx="141">
                  <c:v>144000</c:v>
                </c:pt>
                <c:pt idx="142">
                  <c:v>140000</c:v>
                </c:pt>
                <c:pt idx="143">
                  <c:v>140000</c:v>
                </c:pt>
                <c:pt idx="144">
                  <c:v>140000</c:v>
                </c:pt>
                <c:pt idx="145">
                  <c:v>140000</c:v>
                </c:pt>
                <c:pt idx="146">
                  <c:v>140000</c:v>
                </c:pt>
                <c:pt idx="147">
                  <c:v>140000</c:v>
                </c:pt>
                <c:pt idx="148">
                  <c:v>140000</c:v>
                </c:pt>
                <c:pt idx="149">
                  <c:v>140000</c:v>
                </c:pt>
                <c:pt idx="150">
                  <c:v>140000</c:v>
                </c:pt>
                <c:pt idx="151">
                  <c:v>140000</c:v>
                </c:pt>
                <c:pt idx="152">
                  <c:v>135000</c:v>
                </c:pt>
                <c:pt idx="153">
                  <c:v>135000</c:v>
                </c:pt>
                <c:pt idx="154">
                  <c:v>132000</c:v>
                </c:pt>
                <c:pt idx="155">
                  <c:v>132000</c:v>
                </c:pt>
                <c:pt idx="156">
                  <c:v>132000</c:v>
                </c:pt>
                <c:pt idx="157">
                  <c:v>132000</c:v>
                </c:pt>
                <c:pt idx="158">
                  <c:v>132000</c:v>
                </c:pt>
                <c:pt idx="159">
                  <c:v>132000</c:v>
                </c:pt>
                <c:pt idx="160">
                  <c:v>132000</c:v>
                </c:pt>
                <c:pt idx="161">
                  <c:v>132000</c:v>
                </c:pt>
                <c:pt idx="162">
                  <c:v>132000</c:v>
                </c:pt>
                <c:pt idx="163">
                  <c:v>132000</c:v>
                </c:pt>
                <c:pt idx="164">
                  <c:v>132000</c:v>
                </c:pt>
                <c:pt idx="165">
                  <c:v>132000</c:v>
                </c:pt>
                <c:pt idx="166">
                  <c:v>132000</c:v>
                </c:pt>
                <c:pt idx="167">
                  <c:v>132000</c:v>
                </c:pt>
                <c:pt idx="168">
                  <c:v>132000</c:v>
                </c:pt>
                <c:pt idx="169">
                  <c:v>132000</c:v>
                </c:pt>
                <c:pt idx="170">
                  <c:v>132000</c:v>
                </c:pt>
                <c:pt idx="171">
                  <c:v>132000</c:v>
                </c:pt>
                <c:pt idx="172">
                  <c:v>130000</c:v>
                </c:pt>
                <c:pt idx="173">
                  <c:v>130000</c:v>
                </c:pt>
                <c:pt idx="174">
                  <c:v>130000</c:v>
                </c:pt>
                <c:pt idx="175">
                  <c:v>130000</c:v>
                </c:pt>
                <c:pt idx="176">
                  <c:v>130000</c:v>
                </c:pt>
                <c:pt idx="177">
                  <c:v>130000</c:v>
                </c:pt>
                <c:pt idx="178">
                  <c:v>130000</c:v>
                </c:pt>
                <c:pt idx="179">
                  <c:v>130000</c:v>
                </c:pt>
                <c:pt idx="180">
                  <c:v>126000</c:v>
                </c:pt>
                <c:pt idx="181">
                  <c:v>126000</c:v>
                </c:pt>
                <c:pt idx="182">
                  <c:v>126000</c:v>
                </c:pt>
                <c:pt idx="183">
                  <c:v>126000</c:v>
                </c:pt>
                <c:pt idx="184">
                  <c:v>126000</c:v>
                </c:pt>
                <c:pt idx="185">
                  <c:v>126000</c:v>
                </c:pt>
                <c:pt idx="186">
                  <c:v>126000</c:v>
                </c:pt>
                <c:pt idx="187">
                  <c:v>126000</c:v>
                </c:pt>
                <c:pt idx="188">
                  <c:v>126000</c:v>
                </c:pt>
                <c:pt idx="189">
                  <c:v>126000</c:v>
                </c:pt>
                <c:pt idx="190">
                  <c:v>126000</c:v>
                </c:pt>
                <c:pt idx="191">
                  <c:v>126000</c:v>
                </c:pt>
                <c:pt idx="192">
                  <c:v>125000</c:v>
                </c:pt>
                <c:pt idx="193">
                  <c:v>125000</c:v>
                </c:pt>
                <c:pt idx="194">
                  <c:v>125000</c:v>
                </c:pt>
                <c:pt idx="195">
                  <c:v>120000</c:v>
                </c:pt>
                <c:pt idx="196">
                  <c:v>120000</c:v>
                </c:pt>
                <c:pt idx="197">
                  <c:v>120000</c:v>
                </c:pt>
                <c:pt idx="198">
                  <c:v>120000</c:v>
                </c:pt>
                <c:pt idx="199">
                  <c:v>120000</c:v>
                </c:pt>
                <c:pt idx="200">
                  <c:v>120000</c:v>
                </c:pt>
                <c:pt idx="201">
                  <c:v>120000</c:v>
                </c:pt>
                <c:pt idx="202">
                  <c:v>120000</c:v>
                </c:pt>
                <c:pt idx="203">
                  <c:v>120000</c:v>
                </c:pt>
                <c:pt idx="204">
                  <c:v>120000</c:v>
                </c:pt>
                <c:pt idx="205">
                  <c:v>120000</c:v>
                </c:pt>
                <c:pt idx="206">
                  <c:v>120000</c:v>
                </c:pt>
                <c:pt idx="207">
                  <c:v>120000</c:v>
                </c:pt>
                <c:pt idx="208">
                  <c:v>120000</c:v>
                </c:pt>
                <c:pt idx="209">
                  <c:v>120000</c:v>
                </c:pt>
                <c:pt idx="210">
                  <c:v>120000</c:v>
                </c:pt>
                <c:pt idx="211">
                  <c:v>120000</c:v>
                </c:pt>
                <c:pt idx="212">
                  <c:v>120000</c:v>
                </c:pt>
                <c:pt idx="213">
                  <c:v>120000</c:v>
                </c:pt>
                <c:pt idx="214">
                  <c:v>120000</c:v>
                </c:pt>
                <c:pt idx="215">
                  <c:v>120000</c:v>
                </c:pt>
                <c:pt idx="216">
                  <c:v>120000</c:v>
                </c:pt>
                <c:pt idx="217">
                  <c:v>120000</c:v>
                </c:pt>
                <c:pt idx="218">
                  <c:v>120000</c:v>
                </c:pt>
                <c:pt idx="219">
                  <c:v>120000</c:v>
                </c:pt>
                <c:pt idx="220">
                  <c:v>120000</c:v>
                </c:pt>
                <c:pt idx="221">
                  <c:v>120000</c:v>
                </c:pt>
                <c:pt idx="222">
                  <c:v>120000</c:v>
                </c:pt>
                <c:pt idx="223">
                  <c:v>120000</c:v>
                </c:pt>
                <c:pt idx="224">
                  <c:v>120000</c:v>
                </c:pt>
                <c:pt idx="225">
                  <c:v>120000</c:v>
                </c:pt>
                <c:pt idx="226">
                  <c:v>120000</c:v>
                </c:pt>
                <c:pt idx="227">
                  <c:v>120000</c:v>
                </c:pt>
                <c:pt idx="228">
                  <c:v>117000</c:v>
                </c:pt>
                <c:pt idx="229">
                  <c:v>117000</c:v>
                </c:pt>
                <c:pt idx="230">
                  <c:v>117000</c:v>
                </c:pt>
                <c:pt idx="231">
                  <c:v>117000</c:v>
                </c:pt>
                <c:pt idx="232">
                  <c:v>117000</c:v>
                </c:pt>
                <c:pt idx="233">
                  <c:v>117000</c:v>
                </c:pt>
                <c:pt idx="234">
                  <c:v>117000</c:v>
                </c:pt>
                <c:pt idx="235">
                  <c:v>117000</c:v>
                </c:pt>
                <c:pt idx="236">
                  <c:v>112000</c:v>
                </c:pt>
                <c:pt idx="237">
                  <c:v>112000</c:v>
                </c:pt>
                <c:pt idx="238">
                  <c:v>110000</c:v>
                </c:pt>
                <c:pt idx="239">
                  <c:v>110000</c:v>
                </c:pt>
                <c:pt idx="240">
                  <c:v>110000</c:v>
                </c:pt>
                <c:pt idx="241">
                  <c:v>110000</c:v>
                </c:pt>
                <c:pt idx="242">
                  <c:v>110000</c:v>
                </c:pt>
                <c:pt idx="243">
                  <c:v>110000</c:v>
                </c:pt>
                <c:pt idx="244">
                  <c:v>110000</c:v>
                </c:pt>
                <c:pt idx="245">
                  <c:v>110000</c:v>
                </c:pt>
                <c:pt idx="246">
                  <c:v>110000</c:v>
                </c:pt>
                <c:pt idx="247">
                  <c:v>108000</c:v>
                </c:pt>
                <c:pt idx="248">
                  <c:v>108000</c:v>
                </c:pt>
                <c:pt idx="249">
                  <c:v>108000</c:v>
                </c:pt>
                <c:pt idx="250">
                  <c:v>108000</c:v>
                </c:pt>
                <c:pt idx="251">
                  <c:v>108000</c:v>
                </c:pt>
                <c:pt idx="252">
                  <c:v>108000</c:v>
                </c:pt>
                <c:pt idx="253">
                  <c:v>108000</c:v>
                </c:pt>
                <c:pt idx="254">
                  <c:v>108000</c:v>
                </c:pt>
                <c:pt idx="255">
                  <c:v>108000</c:v>
                </c:pt>
                <c:pt idx="256">
                  <c:v>108000</c:v>
                </c:pt>
                <c:pt idx="257">
                  <c:v>108000</c:v>
                </c:pt>
                <c:pt idx="258">
                  <c:v>108000</c:v>
                </c:pt>
                <c:pt idx="259">
                  <c:v>108000</c:v>
                </c:pt>
                <c:pt idx="260">
                  <c:v>108000</c:v>
                </c:pt>
                <c:pt idx="261">
                  <c:v>108000</c:v>
                </c:pt>
                <c:pt idx="262">
                  <c:v>108000</c:v>
                </c:pt>
                <c:pt idx="263">
                  <c:v>108000</c:v>
                </c:pt>
                <c:pt idx="264">
                  <c:v>108000</c:v>
                </c:pt>
                <c:pt idx="265">
                  <c:v>108000</c:v>
                </c:pt>
                <c:pt idx="266">
                  <c:v>108000</c:v>
                </c:pt>
                <c:pt idx="267">
                  <c:v>108000</c:v>
                </c:pt>
                <c:pt idx="268">
                  <c:v>108000</c:v>
                </c:pt>
                <c:pt idx="269">
                  <c:v>108000</c:v>
                </c:pt>
                <c:pt idx="270">
                  <c:v>108000</c:v>
                </c:pt>
                <c:pt idx="271">
                  <c:v>108000</c:v>
                </c:pt>
                <c:pt idx="272">
                  <c:v>108000</c:v>
                </c:pt>
                <c:pt idx="273">
                  <c:v>105000</c:v>
                </c:pt>
                <c:pt idx="274">
                  <c:v>105000</c:v>
                </c:pt>
                <c:pt idx="275">
                  <c:v>105000</c:v>
                </c:pt>
                <c:pt idx="276">
                  <c:v>105000</c:v>
                </c:pt>
                <c:pt idx="277">
                  <c:v>104000</c:v>
                </c:pt>
                <c:pt idx="278">
                  <c:v>104000</c:v>
                </c:pt>
                <c:pt idx="279">
                  <c:v>104000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99000</c:v>
                </c:pt>
                <c:pt idx="289">
                  <c:v>99000</c:v>
                </c:pt>
                <c:pt idx="290">
                  <c:v>99000</c:v>
                </c:pt>
                <c:pt idx="291">
                  <c:v>99000</c:v>
                </c:pt>
                <c:pt idx="292">
                  <c:v>99000</c:v>
                </c:pt>
                <c:pt idx="293">
                  <c:v>99000</c:v>
                </c:pt>
                <c:pt idx="294">
                  <c:v>98000</c:v>
                </c:pt>
                <c:pt idx="295">
                  <c:v>98000</c:v>
                </c:pt>
                <c:pt idx="296">
                  <c:v>98000</c:v>
                </c:pt>
                <c:pt idx="297">
                  <c:v>98000</c:v>
                </c:pt>
                <c:pt idx="298">
                  <c:v>98000</c:v>
                </c:pt>
                <c:pt idx="299">
                  <c:v>98000</c:v>
                </c:pt>
                <c:pt idx="300">
                  <c:v>98000</c:v>
                </c:pt>
                <c:pt idx="301">
                  <c:v>98000</c:v>
                </c:pt>
                <c:pt idx="302">
                  <c:v>98000</c:v>
                </c:pt>
                <c:pt idx="303">
                  <c:v>96000</c:v>
                </c:pt>
                <c:pt idx="304">
                  <c:v>96000</c:v>
                </c:pt>
                <c:pt idx="305">
                  <c:v>96000</c:v>
                </c:pt>
                <c:pt idx="306">
                  <c:v>96000</c:v>
                </c:pt>
                <c:pt idx="307">
                  <c:v>96000</c:v>
                </c:pt>
                <c:pt idx="308">
                  <c:v>96000</c:v>
                </c:pt>
                <c:pt idx="309">
                  <c:v>96000</c:v>
                </c:pt>
                <c:pt idx="310">
                  <c:v>96000</c:v>
                </c:pt>
                <c:pt idx="311">
                  <c:v>96000</c:v>
                </c:pt>
                <c:pt idx="312">
                  <c:v>96000</c:v>
                </c:pt>
                <c:pt idx="313">
                  <c:v>91000</c:v>
                </c:pt>
                <c:pt idx="314">
                  <c:v>91000</c:v>
                </c:pt>
                <c:pt idx="315">
                  <c:v>91000</c:v>
                </c:pt>
                <c:pt idx="316">
                  <c:v>91000</c:v>
                </c:pt>
                <c:pt idx="317">
                  <c:v>91000</c:v>
                </c:pt>
                <c:pt idx="318">
                  <c:v>91000</c:v>
                </c:pt>
                <c:pt idx="319">
                  <c:v>91000</c:v>
                </c:pt>
                <c:pt idx="320">
                  <c:v>91000</c:v>
                </c:pt>
                <c:pt idx="321">
                  <c:v>91000</c:v>
                </c:pt>
                <c:pt idx="322">
                  <c:v>91000</c:v>
                </c:pt>
                <c:pt idx="323">
                  <c:v>90000</c:v>
                </c:pt>
                <c:pt idx="324">
                  <c:v>90000</c:v>
                </c:pt>
                <c:pt idx="325">
                  <c:v>90000</c:v>
                </c:pt>
                <c:pt idx="326">
                  <c:v>90000</c:v>
                </c:pt>
                <c:pt idx="327">
                  <c:v>90000</c:v>
                </c:pt>
                <c:pt idx="328">
                  <c:v>90000</c:v>
                </c:pt>
                <c:pt idx="329">
                  <c:v>90000</c:v>
                </c:pt>
                <c:pt idx="330">
                  <c:v>90000</c:v>
                </c:pt>
                <c:pt idx="331">
                  <c:v>90000</c:v>
                </c:pt>
                <c:pt idx="332">
                  <c:v>90000</c:v>
                </c:pt>
                <c:pt idx="333">
                  <c:v>90000</c:v>
                </c:pt>
                <c:pt idx="334">
                  <c:v>90000</c:v>
                </c:pt>
                <c:pt idx="335">
                  <c:v>90000</c:v>
                </c:pt>
                <c:pt idx="336">
                  <c:v>90000</c:v>
                </c:pt>
                <c:pt idx="337">
                  <c:v>88000</c:v>
                </c:pt>
                <c:pt idx="338">
                  <c:v>88000</c:v>
                </c:pt>
                <c:pt idx="339">
                  <c:v>88000</c:v>
                </c:pt>
                <c:pt idx="340">
                  <c:v>88000</c:v>
                </c:pt>
                <c:pt idx="341">
                  <c:v>88000</c:v>
                </c:pt>
                <c:pt idx="342">
                  <c:v>84000</c:v>
                </c:pt>
                <c:pt idx="343">
                  <c:v>84000</c:v>
                </c:pt>
                <c:pt idx="344">
                  <c:v>84000</c:v>
                </c:pt>
                <c:pt idx="345">
                  <c:v>84000</c:v>
                </c:pt>
                <c:pt idx="346">
                  <c:v>84000</c:v>
                </c:pt>
                <c:pt idx="347">
                  <c:v>84000</c:v>
                </c:pt>
                <c:pt idx="348">
                  <c:v>84000</c:v>
                </c:pt>
                <c:pt idx="349">
                  <c:v>84000</c:v>
                </c:pt>
                <c:pt idx="350">
                  <c:v>84000</c:v>
                </c:pt>
                <c:pt idx="351">
                  <c:v>84000</c:v>
                </c:pt>
                <c:pt idx="352">
                  <c:v>84000</c:v>
                </c:pt>
                <c:pt idx="353">
                  <c:v>84000</c:v>
                </c:pt>
                <c:pt idx="354">
                  <c:v>84000</c:v>
                </c:pt>
                <c:pt idx="355">
                  <c:v>84000</c:v>
                </c:pt>
                <c:pt idx="356">
                  <c:v>84000</c:v>
                </c:pt>
                <c:pt idx="357">
                  <c:v>84000</c:v>
                </c:pt>
                <c:pt idx="358">
                  <c:v>84000</c:v>
                </c:pt>
                <c:pt idx="359">
                  <c:v>84000</c:v>
                </c:pt>
                <c:pt idx="360">
                  <c:v>84000</c:v>
                </c:pt>
                <c:pt idx="361">
                  <c:v>84000</c:v>
                </c:pt>
                <c:pt idx="362">
                  <c:v>84000</c:v>
                </c:pt>
                <c:pt idx="363">
                  <c:v>84000</c:v>
                </c:pt>
                <c:pt idx="364">
                  <c:v>84000</c:v>
                </c:pt>
                <c:pt idx="365">
                  <c:v>84000</c:v>
                </c:pt>
                <c:pt idx="366">
                  <c:v>84000</c:v>
                </c:pt>
                <c:pt idx="367">
                  <c:v>84000</c:v>
                </c:pt>
                <c:pt idx="368">
                  <c:v>84000</c:v>
                </c:pt>
                <c:pt idx="369">
                  <c:v>84000</c:v>
                </c:pt>
                <c:pt idx="370">
                  <c:v>84000</c:v>
                </c:pt>
                <c:pt idx="371">
                  <c:v>84000</c:v>
                </c:pt>
                <c:pt idx="372">
                  <c:v>84000</c:v>
                </c:pt>
                <c:pt idx="373">
                  <c:v>84000</c:v>
                </c:pt>
                <c:pt idx="374">
                  <c:v>84000</c:v>
                </c:pt>
                <c:pt idx="375">
                  <c:v>84000</c:v>
                </c:pt>
                <c:pt idx="376">
                  <c:v>84000</c:v>
                </c:pt>
                <c:pt idx="377">
                  <c:v>84000</c:v>
                </c:pt>
                <c:pt idx="378">
                  <c:v>84000</c:v>
                </c:pt>
                <c:pt idx="379">
                  <c:v>84000</c:v>
                </c:pt>
                <c:pt idx="380">
                  <c:v>81000</c:v>
                </c:pt>
                <c:pt idx="381">
                  <c:v>81000</c:v>
                </c:pt>
                <c:pt idx="382">
                  <c:v>81000</c:v>
                </c:pt>
                <c:pt idx="383">
                  <c:v>81000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80000</c:v>
                </c:pt>
                <c:pt idx="393">
                  <c:v>80000</c:v>
                </c:pt>
                <c:pt idx="394">
                  <c:v>80000</c:v>
                </c:pt>
                <c:pt idx="395">
                  <c:v>80000</c:v>
                </c:pt>
                <c:pt idx="396">
                  <c:v>78000</c:v>
                </c:pt>
                <c:pt idx="397">
                  <c:v>77000</c:v>
                </c:pt>
                <c:pt idx="398">
                  <c:v>77000</c:v>
                </c:pt>
                <c:pt idx="399">
                  <c:v>77000</c:v>
                </c:pt>
                <c:pt idx="400">
                  <c:v>77000</c:v>
                </c:pt>
                <c:pt idx="401">
                  <c:v>77000</c:v>
                </c:pt>
                <c:pt idx="402">
                  <c:v>77000</c:v>
                </c:pt>
                <c:pt idx="403">
                  <c:v>77000</c:v>
                </c:pt>
                <c:pt idx="404">
                  <c:v>77000</c:v>
                </c:pt>
                <c:pt idx="405">
                  <c:v>77000</c:v>
                </c:pt>
                <c:pt idx="406">
                  <c:v>75000</c:v>
                </c:pt>
                <c:pt idx="407">
                  <c:v>75000</c:v>
                </c:pt>
                <c:pt idx="408">
                  <c:v>75000</c:v>
                </c:pt>
                <c:pt idx="409">
                  <c:v>75000</c:v>
                </c:pt>
                <c:pt idx="410">
                  <c:v>75000</c:v>
                </c:pt>
                <c:pt idx="411">
                  <c:v>72000</c:v>
                </c:pt>
                <c:pt idx="412">
                  <c:v>72000</c:v>
                </c:pt>
                <c:pt idx="413">
                  <c:v>72000</c:v>
                </c:pt>
                <c:pt idx="414">
                  <c:v>72000</c:v>
                </c:pt>
                <c:pt idx="415">
                  <c:v>72000</c:v>
                </c:pt>
                <c:pt idx="416">
                  <c:v>72000</c:v>
                </c:pt>
                <c:pt idx="417">
                  <c:v>72000</c:v>
                </c:pt>
                <c:pt idx="418">
                  <c:v>72000</c:v>
                </c:pt>
                <c:pt idx="419">
                  <c:v>72000</c:v>
                </c:pt>
                <c:pt idx="420">
                  <c:v>72000</c:v>
                </c:pt>
                <c:pt idx="421">
                  <c:v>72000</c:v>
                </c:pt>
                <c:pt idx="422">
                  <c:v>72000</c:v>
                </c:pt>
                <c:pt idx="423">
                  <c:v>72000</c:v>
                </c:pt>
                <c:pt idx="424">
                  <c:v>72000</c:v>
                </c:pt>
                <c:pt idx="425">
                  <c:v>72000</c:v>
                </c:pt>
                <c:pt idx="426">
                  <c:v>72000</c:v>
                </c:pt>
                <c:pt idx="427">
                  <c:v>72000</c:v>
                </c:pt>
                <c:pt idx="428">
                  <c:v>72000</c:v>
                </c:pt>
                <c:pt idx="429">
                  <c:v>72000</c:v>
                </c:pt>
                <c:pt idx="430">
                  <c:v>72000</c:v>
                </c:pt>
                <c:pt idx="431">
                  <c:v>72000</c:v>
                </c:pt>
                <c:pt idx="432">
                  <c:v>72000</c:v>
                </c:pt>
                <c:pt idx="433">
                  <c:v>72000</c:v>
                </c:pt>
                <c:pt idx="434">
                  <c:v>72000</c:v>
                </c:pt>
                <c:pt idx="435">
                  <c:v>72000</c:v>
                </c:pt>
                <c:pt idx="436">
                  <c:v>72000</c:v>
                </c:pt>
                <c:pt idx="437">
                  <c:v>72000</c:v>
                </c:pt>
                <c:pt idx="438">
                  <c:v>70000</c:v>
                </c:pt>
                <c:pt idx="439">
                  <c:v>70000</c:v>
                </c:pt>
                <c:pt idx="440">
                  <c:v>70000</c:v>
                </c:pt>
                <c:pt idx="441">
                  <c:v>70000</c:v>
                </c:pt>
                <c:pt idx="442">
                  <c:v>70000</c:v>
                </c:pt>
                <c:pt idx="443">
                  <c:v>70000</c:v>
                </c:pt>
                <c:pt idx="444">
                  <c:v>70000</c:v>
                </c:pt>
                <c:pt idx="445">
                  <c:v>70000</c:v>
                </c:pt>
                <c:pt idx="446">
                  <c:v>70000</c:v>
                </c:pt>
                <c:pt idx="447">
                  <c:v>70000</c:v>
                </c:pt>
                <c:pt idx="448">
                  <c:v>70000</c:v>
                </c:pt>
                <c:pt idx="449">
                  <c:v>70000</c:v>
                </c:pt>
                <c:pt idx="450">
                  <c:v>70000</c:v>
                </c:pt>
                <c:pt idx="451">
                  <c:v>70000</c:v>
                </c:pt>
                <c:pt idx="452">
                  <c:v>70000</c:v>
                </c:pt>
                <c:pt idx="453">
                  <c:v>70000</c:v>
                </c:pt>
                <c:pt idx="454">
                  <c:v>70000</c:v>
                </c:pt>
                <c:pt idx="455">
                  <c:v>70000</c:v>
                </c:pt>
                <c:pt idx="456">
                  <c:v>70000</c:v>
                </c:pt>
                <c:pt idx="457">
                  <c:v>70000</c:v>
                </c:pt>
                <c:pt idx="458">
                  <c:v>66000</c:v>
                </c:pt>
                <c:pt idx="459">
                  <c:v>66000</c:v>
                </c:pt>
                <c:pt idx="460">
                  <c:v>66000</c:v>
                </c:pt>
                <c:pt idx="461">
                  <c:v>66000</c:v>
                </c:pt>
                <c:pt idx="462">
                  <c:v>66000</c:v>
                </c:pt>
                <c:pt idx="463">
                  <c:v>66000</c:v>
                </c:pt>
                <c:pt idx="464">
                  <c:v>65000</c:v>
                </c:pt>
                <c:pt idx="465">
                  <c:v>65000</c:v>
                </c:pt>
                <c:pt idx="466">
                  <c:v>65000</c:v>
                </c:pt>
                <c:pt idx="467">
                  <c:v>65000</c:v>
                </c:pt>
                <c:pt idx="468">
                  <c:v>64000</c:v>
                </c:pt>
                <c:pt idx="469">
                  <c:v>63000</c:v>
                </c:pt>
                <c:pt idx="470">
                  <c:v>63000</c:v>
                </c:pt>
                <c:pt idx="471">
                  <c:v>63000</c:v>
                </c:pt>
                <c:pt idx="472">
                  <c:v>63000</c:v>
                </c:pt>
                <c:pt idx="473">
                  <c:v>63000</c:v>
                </c:pt>
                <c:pt idx="474">
                  <c:v>63000</c:v>
                </c:pt>
                <c:pt idx="475">
                  <c:v>63000</c:v>
                </c:pt>
                <c:pt idx="476">
                  <c:v>63000</c:v>
                </c:pt>
                <c:pt idx="477">
                  <c:v>63000</c:v>
                </c:pt>
                <c:pt idx="478">
                  <c:v>63000</c:v>
                </c:pt>
                <c:pt idx="479">
                  <c:v>63000</c:v>
                </c:pt>
                <c:pt idx="480">
                  <c:v>63000</c:v>
                </c:pt>
                <c:pt idx="481">
                  <c:v>63000</c:v>
                </c:pt>
                <c:pt idx="482">
                  <c:v>60000</c:v>
                </c:pt>
                <c:pt idx="483">
                  <c:v>60000</c:v>
                </c:pt>
                <c:pt idx="484">
                  <c:v>60000</c:v>
                </c:pt>
                <c:pt idx="485">
                  <c:v>60000</c:v>
                </c:pt>
                <c:pt idx="486">
                  <c:v>60000</c:v>
                </c:pt>
                <c:pt idx="487">
                  <c:v>60000</c:v>
                </c:pt>
                <c:pt idx="488">
                  <c:v>60000</c:v>
                </c:pt>
                <c:pt idx="489">
                  <c:v>60000</c:v>
                </c:pt>
                <c:pt idx="490">
                  <c:v>60000</c:v>
                </c:pt>
                <c:pt idx="491">
                  <c:v>60000</c:v>
                </c:pt>
                <c:pt idx="492">
                  <c:v>60000</c:v>
                </c:pt>
                <c:pt idx="493">
                  <c:v>60000</c:v>
                </c:pt>
                <c:pt idx="494">
                  <c:v>60000</c:v>
                </c:pt>
                <c:pt idx="495">
                  <c:v>60000</c:v>
                </c:pt>
                <c:pt idx="496">
                  <c:v>60000</c:v>
                </c:pt>
                <c:pt idx="497">
                  <c:v>60000</c:v>
                </c:pt>
                <c:pt idx="498">
                  <c:v>60000</c:v>
                </c:pt>
                <c:pt idx="499">
                  <c:v>60000</c:v>
                </c:pt>
                <c:pt idx="500">
                  <c:v>60000</c:v>
                </c:pt>
                <c:pt idx="501">
                  <c:v>60000</c:v>
                </c:pt>
                <c:pt idx="502">
                  <c:v>60000</c:v>
                </c:pt>
                <c:pt idx="503">
                  <c:v>60000</c:v>
                </c:pt>
                <c:pt idx="504">
                  <c:v>60000</c:v>
                </c:pt>
                <c:pt idx="505">
                  <c:v>60000</c:v>
                </c:pt>
                <c:pt idx="506">
                  <c:v>60000</c:v>
                </c:pt>
                <c:pt idx="507">
                  <c:v>60000</c:v>
                </c:pt>
                <c:pt idx="508">
                  <c:v>60000</c:v>
                </c:pt>
                <c:pt idx="509">
                  <c:v>60000</c:v>
                </c:pt>
                <c:pt idx="510">
                  <c:v>60000</c:v>
                </c:pt>
                <c:pt idx="511">
                  <c:v>60000</c:v>
                </c:pt>
                <c:pt idx="512">
                  <c:v>60000</c:v>
                </c:pt>
                <c:pt idx="513">
                  <c:v>60000</c:v>
                </c:pt>
                <c:pt idx="514">
                  <c:v>60000</c:v>
                </c:pt>
                <c:pt idx="515">
                  <c:v>60000</c:v>
                </c:pt>
                <c:pt idx="516">
                  <c:v>60000</c:v>
                </c:pt>
                <c:pt idx="517">
                  <c:v>60000</c:v>
                </c:pt>
                <c:pt idx="518">
                  <c:v>60000</c:v>
                </c:pt>
                <c:pt idx="519">
                  <c:v>60000</c:v>
                </c:pt>
                <c:pt idx="520">
                  <c:v>56000</c:v>
                </c:pt>
                <c:pt idx="521">
                  <c:v>56000</c:v>
                </c:pt>
                <c:pt idx="522">
                  <c:v>56000</c:v>
                </c:pt>
                <c:pt idx="523">
                  <c:v>56000</c:v>
                </c:pt>
                <c:pt idx="524">
                  <c:v>56000</c:v>
                </c:pt>
                <c:pt idx="525">
                  <c:v>56000</c:v>
                </c:pt>
                <c:pt idx="526">
                  <c:v>56000</c:v>
                </c:pt>
                <c:pt idx="527">
                  <c:v>56000</c:v>
                </c:pt>
                <c:pt idx="528">
                  <c:v>56000</c:v>
                </c:pt>
                <c:pt idx="529">
                  <c:v>56000</c:v>
                </c:pt>
                <c:pt idx="530">
                  <c:v>56000</c:v>
                </c:pt>
                <c:pt idx="531">
                  <c:v>56000</c:v>
                </c:pt>
                <c:pt idx="532">
                  <c:v>56000</c:v>
                </c:pt>
                <c:pt idx="533">
                  <c:v>56000</c:v>
                </c:pt>
                <c:pt idx="534">
                  <c:v>56000</c:v>
                </c:pt>
                <c:pt idx="535">
                  <c:v>56000</c:v>
                </c:pt>
                <c:pt idx="536">
                  <c:v>55000</c:v>
                </c:pt>
                <c:pt idx="537">
                  <c:v>55000</c:v>
                </c:pt>
                <c:pt idx="538">
                  <c:v>55000</c:v>
                </c:pt>
                <c:pt idx="539">
                  <c:v>55000</c:v>
                </c:pt>
                <c:pt idx="540">
                  <c:v>55000</c:v>
                </c:pt>
                <c:pt idx="541">
                  <c:v>55000</c:v>
                </c:pt>
                <c:pt idx="542">
                  <c:v>55000</c:v>
                </c:pt>
                <c:pt idx="543">
                  <c:v>55000</c:v>
                </c:pt>
                <c:pt idx="544">
                  <c:v>55000</c:v>
                </c:pt>
                <c:pt idx="545">
                  <c:v>55000</c:v>
                </c:pt>
                <c:pt idx="546">
                  <c:v>54000</c:v>
                </c:pt>
                <c:pt idx="547">
                  <c:v>54000</c:v>
                </c:pt>
                <c:pt idx="548">
                  <c:v>54000</c:v>
                </c:pt>
                <c:pt idx="549">
                  <c:v>54000</c:v>
                </c:pt>
                <c:pt idx="550">
                  <c:v>54000</c:v>
                </c:pt>
                <c:pt idx="551">
                  <c:v>54000</c:v>
                </c:pt>
                <c:pt idx="552">
                  <c:v>54000</c:v>
                </c:pt>
                <c:pt idx="553">
                  <c:v>54000</c:v>
                </c:pt>
                <c:pt idx="554">
                  <c:v>54000</c:v>
                </c:pt>
                <c:pt idx="555">
                  <c:v>52000</c:v>
                </c:pt>
                <c:pt idx="556">
                  <c:v>52000</c:v>
                </c:pt>
                <c:pt idx="557">
                  <c:v>52000</c:v>
                </c:pt>
                <c:pt idx="558">
                  <c:v>50000</c:v>
                </c:pt>
                <c:pt idx="559">
                  <c:v>50000</c:v>
                </c:pt>
                <c:pt idx="560">
                  <c:v>50000</c:v>
                </c:pt>
                <c:pt idx="561">
                  <c:v>50000</c:v>
                </c:pt>
                <c:pt idx="562">
                  <c:v>50000</c:v>
                </c:pt>
                <c:pt idx="563">
                  <c:v>50000</c:v>
                </c:pt>
                <c:pt idx="564">
                  <c:v>50000</c:v>
                </c:pt>
                <c:pt idx="565">
                  <c:v>50000</c:v>
                </c:pt>
                <c:pt idx="566">
                  <c:v>50000</c:v>
                </c:pt>
                <c:pt idx="567">
                  <c:v>50000</c:v>
                </c:pt>
                <c:pt idx="568">
                  <c:v>49000</c:v>
                </c:pt>
                <c:pt idx="569">
                  <c:v>49000</c:v>
                </c:pt>
                <c:pt idx="570">
                  <c:v>49000</c:v>
                </c:pt>
                <c:pt idx="571">
                  <c:v>49000</c:v>
                </c:pt>
                <c:pt idx="572">
                  <c:v>49000</c:v>
                </c:pt>
                <c:pt idx="573">
                  <c:v>49000</c:v>
                </c:pt>
                <c:pt idx="574">
                  <c:v>49000</c:v>
                </c:pt>
                <c:pt idx="575">
                  <c:v>48000</c:v>
                </c:pt>
                <c:pt idx="576">
                  <c:v>48000</c:v>
                </c:pt>
                <c:pt idx="577">
                  <c:v>48000</c:v>
                </c:pt>
                <c:pt idx="578">
                  <c:v>48000</c:v>
                </c:pt>
                <c:pt idx="579">
                  <c:v>48000</c:v>
                </c:pt>
                <c:pt idx="580">
                  <c:v>48000</c:v>
                </c:pt>
                <c:pt idx="581">
                  <c:v>48000</c:v>
                </c:pt>
                <c:pt idx="582">
                  <c:v>48000</c:v>
                </c:pt>
                <c:pt idx="583">
                  <c:v>48000</c:v>
                </c:pt>
                <c:pt idx="584">
                  <c:v>48000</c:v>
                </c:pt>
                <c:pt idx="585">
                  <c:v>48000</c:v>
                </c:pt>
                <c:pt idx="586">
                  <c:v>48000</c:v>
                </c:pt>
                <c:pt idx="587">
                  <c:v>48000</c:v>
                </c:pt>
                <c:pt idx="588">
                  <c:v>48000</c:v>
                </c:pt>
                <c:pt idx="589">
                  <c:v>48000</c:v>
                </c:pt>
                <c:pt idx="590">
                  <c:v>48000</c:v>
                </c:pt>
                <c:pt idx="591">
                  <c:v>48000</c:v>
                </c:pt>
                <c:pt idx="592">
                  <c:v>48000</c:v>
                </c:pt>
                <c:pt idx="593">
                  <c:v>45500</c:v>
                </c:pt>
                <c:pt idx="594">
                  <c:v>45500</c:v>
                </c:pt>
                <c:pt idx="595">
                  <c:v>45500</c:v>
                </c:pt>
                <c:pt idx="596">
                  <c:v>45500</c:v>
                </c:pt>
                <c:pt idx="597">
                  <c:v>45500</c:v>
                </c:pt>
                <c:pt idx="598">
                  <c:v>45500</c:v>
                </c:pt>
                <c:pt idx="599">
                  <c:v>45500</c:v>
                </c:pt>
                <c:pt idx="600">
                  <c:v>45500</c:v>
                </c:pt>
                <c:pt idx="601">
                  <c:v>45500</c:v>
                </c:pt>
                <c:pt idx="602">
                  <c:v>45500</c:v>
                </c:pt>
                <c:pt idx="603">
                  <c:v>45500</c:v>
                </c:pt>
                <c:pt idx="604">
                  <c:v>45000</c:v>
                </c:pt>
                <c:pt idx="605">
                  <c:v>45000</c:v>
                </c:pt>
                <c:pt idx="606">
                  <c:v>45000</c:v>
                </c:pt>
                <c:pt idx="607">
                  <c:v>45000</c:v>
                </c:pt>
                <c:pt idx="608">
                  <c:v>45000</c:v>
                </c:pt>
                <c:pt idx="609">
                  <c:v>45000</c:v>
                </c:pt>
                <c:pt idx="610">
                  <c:v>45000</c:v>
                </c:pt>
                <c:pt idx="611">
                  <c:v>45000</c:v>
                </c:pt>
                <c:pt idx="612">
                  <c:v>45000</c:v>
                </c:pt>
                <c:pt idx="613">
                  <c:v>45000</c:v>
                </c:pt>
                <c:pt idx="614">
                  <c:v>45000</c:v>
                </c:pt>
                <c:pt idx="615">
                  <c:v>44000</c:v>
                </c:pt>
                <c:pt idx="616">
                  <c:v>44000</c:v>
                </c:pt>
                <c:pt idx="617">
                  <c:v>44000</c:v>
                </c:pt>
                <c:pt idx="618">
                  <c:v>44000</c:v>
                </c:pt>
                <c:pt idx="619">
                  <c:v>44000</c:v>
                </c:pt>
                <c:pt idx="620">
                  <c:v>44000</c:v>
                </c:pt>
                <c:pt idx="621">
                  <c:v>44000</c:v>
                </c:pt>
                <c:pt idx="622">
                  <c:v>44000</c:v>
                </c:pt>
                <c:pt idx="623">
                  <c:v>44000</c:v>
                </c:pt>
                <c:pt idx="624">
                  <c:v>44000</c:v>
                </c:pt>
                <c:pt idx="625">
                  <c:v>44000</c:v>
                </c:pt>
                <c:pt idx="626">
                  <c:v>42000</c:v>
                </c:pt>
                <c:pt idx="627">
                  <c:v>42000</c:v>
                </c:pt>
                <c:pt idx="628">
                  <c:v>42000</c:v>
                </c:pt>
                <c:pt idx="629">
                  <c:v>42000</c:v>
                </c:pt>
                <c:pt idx="630">
                  <c:v>42000</c:v>
                </c:pt>
                <c:pt idx="631">
                  <c:v>42000</c:v>
                </c:pt>
                <c:pt idx="632">
                  <c:v>42000</c:v>
                </c:pt>
                <c:pt idx="633">
                  <c:v>42000</c:v>
                </c:pt>
                <c:pt idx="634">
                  <c:v>42000</c:v>
                </c:pt>
                <c:pt idx="635">
                  <c:v>42000</c:v>
                </c:pt>
                <c:pt idx="636">
                  <c:v>42000</c:v>
                </c:pt>
                <c:pt idx="637">
                  <c:v>40000</c:v>
                </c:pt>
                <c:pt idx="638">
                  <c:v>40000</c:v>
                </c:pt>
                <c:pt idx="639">
                  <c:v>40000</c:v>
                </c:pt>
                <c:pt idx="640">
                  <c:v>40000</c:v>
                </c:pt>
                <c:pt idx="641">
                  <c:v>40000</c:v>
                </c:pt>
                <c:pt idx="642">
                  <c:v>40000</c:v>
                </c:pt>
                <c:pt idx="643">
                  <c:v>40000</c:v>
                </c:pt>
                <c:pt idx="644">
                  <c:v>40000</c:v>
                </c:pt>
                <c:pt idx="645">
                  <c:v>40000</c:v>
                </c:pt>
                <c:pt idx="646">
                  <c:v>40000</c:v>
                </c:pt>
                <c:pt idx="647">
                  <c:v>40000</c:v>
                </c:pt>
                <c:pt idx="648">
                  <c:v>40000</c:v>
                </c:pt>
                <c:pt idx="649">
                  <c:v>40000</c:v>
                </c:pt>
                <c:pt idx="650">
                  <c:v>40000</c:v>
                </c:pt>
                <c:pt idx="651">
                  <c:v>40000</c:v>
                </c:pt>
                <c:pt idx="652">
                  <c:v>40000</c:v>
                </c:pt>
                <c:pt idx="653">
                  <c:v>40000</c:v>
                </c:pt>
                <c:pt idx="654">
                  <c:v>39000</c:v>
                </c:pt>
                <c:pt idx="655">
                  <c:v>39000</c:v>
                </c:pt>
                <c:pt idx="656">
                  <c:v>38500</c:v>
                </c:pt>
                <c:pt idx="657">
                  <c:v>38500</c:v>
                </c:pt>
                <c:pt idx="658">
                  <c:v>38500</c:v>
                </c:pt>
                <c:pt idx="659">
                  <c:v>36000</c:v>
                </c:pt>
                <c:pt idx="660">
                  <c:v>36000</c:v>
                </c:pt>
                <c:pt idx="661">
                  <c:v>36000</c:v>
                </c:pt>
                <c:pt idx="662">
                  <c:v>36000</c:v>
                </c:pt>
                <c:pt idx="663">
                  <c:v>36000</c:v>
                </c:pt>
                <c:pt idx="664">
                  <c:v>36000</c:v>
                </c:pt>
                <c:pt idx="665">
                  <c:v>36000</c:v>
                </c:pt>
                <c:pt idx="666">
                  <c:v>36000</c:v>
                </c:pt>
                <c:pt idx="667">
                  <c:v>36000</c:v>
                </c:pt>
                <c:pt idx="668">
                  <c:v>36000</c:v>
                </c:pt>
                <c:pt idx="669">
                  <c:v>36000</c:v>
                </c:pt>
                <c:pt idx="670">
                  <c:v>36000</c:v>
                </c:pt>
                <c:pt idx="671">
                  <c:v>36000</c:v>
                </c:pt>
                <c:pt idx="672">
                  <c:v>36000</c:v>
                </c:pt>
                <c:pt idx="673">
                  <c:v>36000</c:v>
                </c:pt>
                <c:pt idx="674">
                  <c:v>36000</c:v>
                </c:pt>
                <c:pt idx="675">
                  <c:v>36000</c:v>
                </c:pt>
                <c:pt idx="676">
                  <c:v>36000</c:v>
                </c:pt>
                <c:pt idx="677">
                  <c:v>36000</c:v>
                </c:pt>
                <c:pt idx="678">
                  <c:v>36000</c:v>
                </c:pt>
                <c:pt idx="679">
                  <c:v>36000</c:v>
                </c:pt>
                <c:pt idx="680">
                  <c:v>36000</c:v>
                </c:pt>
                <c:pt idx="681">
                  <c:v>36000</c:v>
                </c:pt>
                <c:pt idx="682">
                  <c:v>36000</c:v>
                </c:pt>
                <c:pt idx="683">
                  <c:v>36000</c:v>
                </c:pt>
                <c:pt idx="684">
                  <c:v>36000</c:v>
                </c:pt>
                <c:pt idx="685">
                  <c:v>36000</c:v>
                </c:pt>
                <c:pt idx="686">
                  <c:v>36000</c:v>
                </c:pt>
                <c:pt idx="687">
                  <c:v>36000</c:v>
                </c:pt>
                <c:pt idx="688">
                  <c:v>36000</c:v>
                </c:pt>
                <c:pt idx="689">
                  <c:v>35000</c:v>
                </c:pt>
                <c:pt idx="690">
                  <c:v>35000</c:v>
                </c:pt>
                <c:pt idx="691">
                  <c:v>35000</c:v>
                </c:pt>
                <c:pt idx="692">
                  <c:v>35000</c:v>
                </c:pt>
                <c:pt idx="693">
                  <c:v>35000</c:v>
                </c:pt>
                <c:pt idx="694">
                  <c:v>35000</c:v>
                </c:pt>
                <c:pt idx="695">
                  <c:v>35000</c:v>
                </c:pt>
                <c:pt idx="696">
                  <c:v>35000</c:v>
                </c:pt>
                <c:pt idx="697">
                  <c:v>35000</c:v>
                </c:pt>
                <c:pt idx="698">
                  <c:v>35000</c:v>
                </c:pt>
                <c:pt idx="699">
                  <c:v>35000</c:v>
                </c:pt>
                <c:pt idx="700">
                  <c:v>35000</c:v>
                </c:pt>
                <c:pt idx="701">
                  <c:v>35000</c:v>
                </c:pt>
                <c:pt idx="702">
                  <c:v>35000</c:v>
                </c:pt>
                <c:pt idx="703">
                  <c:v>35000</c:v>
                </c:pt>
                <c:pt idx="704">
                  <c:v>35000</c:v>
                </c:pt>
                <c:pt idx="705">
                  <c:v>35000</c:v>
                </c:pt>
                <c:pt idx="706">
                  <c:v>35000</c:v>
                </c:pt>
                <c:pt idx="707">
                  <c:v>35000</c:v>
                </c:pt>
                <c:pt idx="708">
                  <c:v>35000</c:v>
                </c:pt>
                <c:pt idx="709">
                  <c:v>35000</c:v>
                </c:pt>
                <c:pt idx="710">
                  <c:v>35000</c:v>
                </c:pt>
                <c:pt idx="711">
                  <c:v>35000</c:v>
                </c:pt>
                <c:pt idx="712">
                  <c:v>35000</c:v>
                </c:pt>
                <c:pt idx="713">
                  <c:v>35000</c:v>
                </c:pt>
                <c:pt idx="714">
                  <c:v>35000</c:v>
                </c:pt>
                <c:pt idx="715">
                  <c:v>33000</c:v>
                </c:pt>
                <c:pt idx="716">
                  <c:v>33000</c:v>
                </c:pt>
                <c:pt idx="717">
                  <c:v>33000</c:v>
                </c:pt>
                <c:pt idx="718">
                  <c:v>33000</c:v>
                </c:pt>
                <c:pt idx="719">
                  <c:v>33000</c:v>
                </c:pt>
                <c:pt idx="720">
                  <c:v>32500</c:v>
                </c:pt>
                <c:pt idx="721">
                  <c:v>32000</c:v>
                </c:pt>
                <c:pt idx="722">
                  <c:v>32000</c:v>
                </c:pt>
                <c:pt idx="723">
                  <c:v>32000</c:v>
                </c:pt>
                <c:pt idx="724">
                  <c:v>32000</c:v>
                </c:pt>
                <c:pt idx="725">
                  <c:v>32000</c:v>
                </c:pt>
                <c:pt idx="726">
                  <c:v>31500</c:v>
                </c:pt>
                <c:pt idx="727">
                  <c:v>31500</c:v>
                </c:pt>
                <c:pt idx="728">
                  <c:v>31500</c:v>
                </c:pt>
                <c:pt idx="729">
                  <c:v>31500</c:v>
                </c:pt>
                <c:pt idx="730">
                  <c:v>31500</c:v>
                </c:pt>
                <c:pt idx="731">
                  <c:v>31500</c:v>
                </c:pt>
                <c:pt idx="732">
                  <c:v>31500</c:v>
                </c:pt>
                <c:pt idx="733">
                  <c:v>30000</c:v>
                </c:pt>
                <c:pt idx="734">
                  <c:v>30000</c:v>
                </c:pt>
                <c:pt idx="735">
                  <c:v>30000</c:v>
                </c:pt>
                <c:pt idx="736">
                  <c:v>30000</c:v>
                </c:pt>
                <c:pt idx="737">
                  <c:v>30000</c:v>
                </c:pt>
                <c:pt idx="738">
                  <c:v>30000</c:v>
                </c:pt>
                <c:pt idx="739">
                  <c:v>30000</c:v>
                </c:pt>
                <c:pt idx="740">
                  <c:v>30000</c:v>
                </c:pt>
                <c:pt idx="741">
                  <c:v>30000</c:v>
                </c:pt>
                <c:pt idx="742">
                  <c:v>30000</c:v>
                </c:pt>
                <c:pt idx="743">
                  <c:v>30000</c:v>
                </c:pt>
                <c:pt idx="744">
                  <c:v>30000</c:v>
                </c:pt>
                <c:pt idx="745">
                  <c:v>30000</c:v>
                </c:pt>
                <c:pt idx="746">
                  <c:v>30000</c:v>
                </c:pt>
                <c:pt idx="747">
                  <c:v>30000</c:v>
                </c:pt>
                <c:pt idx="748">
                  <c:v>30000</c:v>
                </c:pt>
                <c:pt idx="749">
                  <c:v>30000</c:v>
                </c:pt>
                <c:pt idx="750">
                  <c:v>30000</c:v>
                </c:pt>
                <c:pt idx="751">
                  <c:v>30000</c:v>
                </c:pt>
                <c:pt idx="752">
                  <c:v>30000</c:v>
                </c:pt>
                <c:pt idx="753">
                  <c:v>30000</c:v>
                </c:pt>
                <c:pt idx="754">
                  <c:v>30000</c:v>
                </c:pt>
                <c:pt idx="755">
                  <c:v>30000</c:v>
                </c:pt>
                <c:pt idx="756">
                  <c:v>30000</c:v>
                </c:pt>
                <c:pt idx="757">
                  <c:v>30000</c:v>
                </c:pt>
                <c:pt idx="758">
                  <c:v>28000</c:v>
                </c:pt>
                <c:pt idx="759">
                  <c:v>28000</c:v>
                </c:pt>
                <c:pt idx="760">
                  <c:v>28000</c:v>
                </c:pt>
                <c:pt idx="761">
                  <c:v>28000</c:v>
                </c:pt>
                <c:pt idx="762">
                  <c:v>28000</c:v>
                </c:pt>
                <c:pt idx="763">
                  <c:v>28000</c:v>
                </c:pt>
                <c:pt idx="764">
                  <c:v>28000</c:v>
                </c:pt>
                <c:pt idx="765">
                  <c:v>28000</c:v>
                </c:pt>
                <c:pt idx="766">
                  <c:v>28000</c:v>
                </c:pt>
                <c:pt idx="767">
                  <c:v>28000</c:v>
                </c:pt>
                <c:pt idx="768">
                  <c:v>28000</c:v>
                </c:pt>
                <c:pt idx="769">
                  <c:v>28000</c:v>
                </c:pt>
                <c:pt idx="770">
                  <c:v>28000</c:v>
                </c:pt>
                <c:pt idx="771">
                  <c:v>28000</c:v>
                </c:pt>
                <c:pt idx="772">
                  <c:v>28000</c:v>
                </c:pt>
                <c:pt idx="773">
                  <c:v>27500</c:v>
                </c:pt>
                <c:pt idx="774">
                  <c:v>27500</c:v>
                </c:pt>
                <c:pt idx="775">
                  <c:v>27500</c:v>
                </c:pt>
                <c:pt idx="776">
                  <c:v>27000</c:v>
                </c:pt>
                <c:pt idx="777">
                  <c:v>27000</c:v>
                </c:pt>
                <c:pt idx="778">
                  <c:v>27000</c:v>
                </c:pt>
                <c:pt idx="779">
                  <c:v>27000</c:v>
                </c:pt>
                <c:pt idx="780">
                  <c:v>27000</c:v>
                </c:pt>
                <c:pt idx="781">
                  <c:v>27000</c:v>
                </c:pt>
                <c:pt idx="782">
                  <c:v>25000</c:v>
                </c:pt>
                <c:pt idx="783">
                  <c:v>25000</c:v>
                </c:pt>
                <c:pt idx="784">
                  <c:v>25000</c:v>
                </c:pt>
                <c:pt idx="785">
                  <c:v>25000</c:v>
                </c:pt>
                <c:pt idx="786">
                  <c:v>25000</c:v>
                </c:pt>
                <c:pt idx="787">
                  <c:v>24500</c:v>
                </c:pt>
                <c:pt idx="788">
                  <c:v>24500</c:v>
                </c:pt>
                <c:pt idx="789">
                  <c:v>24500</c:v>
                </c:pt>
                <c:pt idx="790">
                  <c:v>24500</c:v>
                </c:pt>
                <c:pt idx="791">
                  <c:v>24500</c:v>
                </c:pt>
                <c:pt idx="792">
                  <c:v>24000</c:v>
                </c:pt>
                <c:pt idx="793">
                  <c:v>24000</c:v>
                </c:pt>
                <c:pt idx="794">
                  <c:v>24000</c:v>
                </c:pt>
                <c:pt idx="795">
                  <c:v>24000</c:v>
                </c:pt>
                <c:pt idx="796">
                  <c:v>24000</c:v>
                </c:pt>
                <c:pt idx="797">
                  <c:v>24000</c:v>
                </c:pt>
                <c:pt idx="798">
                  <c:v>24000</c:v>
                </c:pt>
                <c:pt idx="799">
                  <c:v>24000</c:v>
                </c:pt>
                <c:pt idx="800">
                  <c:v>24000</c:v>
                </c:pt>
                <c:pt idx="801">
                  <c:v>24000</c:v>
                </c:pt>
                <c:pt idx="802">
                  <c:v>24000</c:v>
                </c:pt>
                <c:pt idx="803">
                  <c:v>24000</c:v>
                </c:pt>
                <c:pt idx="804">
                  <c:v>24000</c:v>
                </c:pt>
                <c:pt idx="805">
                  <c:v>24000</c:v>
                </c:pt>
                <c:pt idx="806">
                  <c:v>24000</c:v>
                </c:pt>
                <c:pt idx="807">
                  <c:v>24000</c:v>
                </c:pt>
                <c:pt idx="808">
                  <c:v>24000</c:v>
                </c:pt>
                <c:pt idx="809">
                  <c:v>24000</c:v>
                </c:pt>
                <c:pt idx="810">
                  <c:v>24000</c:v>
                </c:pt>
                <c:pt idx="811">
                  <c:v>24000</c:v>
                </c:pt>
                <c:pt idx="812">
                  <c:v>22500</c:v>
                </c:pt>
                <c:pt idx="813">
                  <c:v>22500</c:v>
                </c:pt>
                <c:pt idx="814">
                  <c:v>22500</c:v>
                </c:pt>
                <c:pt idx="815">
                  <c:v>22500</c:v>
                </c:pt>
                <c:pt idx="816">
                  <c:v>22000</c:v>
                </c:pt>
                <c:pt idx="817">
                  <c:v>22000</c:v>
                </c:pt>
                <c:pt idx="818">
                  <c:v>22000</c:v>
                </c:pt>
                <c:pt idx="819">
                  <c:v>21000</c:v>
                </c:pt>
                <c:pt idx="820">
                  <c:v>21000</c:v>
                </c:pt>
                <c:pt idx="821">
                  <c:v>21000</c:v>
                </c:pt>
                <c:pt idx="822">
                  <c:v>21000</c:v>
                </c:pt>
                <c:pt idx="823">
                  <c:v>21000</c:v>
                </c:pt>
                <c:pt idx="824">
                  <c:v>21000</c:v>
                </c:pt>
                <c:pt idx="825">
                  <c:v>21000</c:v>
                </c:pt>
                <c:pt idx="826">
                  <c:v>21000</c:v>
                </c:pt>
                <c:pt idx="827">
                  <c:v>21000</c:v>
                </c:pt>
                <c:pt idx="828">
                  <c:v>21000</c:v>
                </c:pt>
                <c:pt idx="829">
                  <c:v>21000</c:v>
                </c:pt>
                <c:pt idx="830">
                  <c:v>21000</c:v>
                </c:pt>
                <c:pt idx="831">
                  <c:v>21000</c:v>
                </c:pt>
                <c:pt idx="832">
                  <c:v>21000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20000</c:v>
                </c:pt>
                <c:pt idx="841">
                  <c:v>20000</c:v>
                </c:pt>
                <c:pt idx="842">
                  <c:v>20000</c:v>
                </c:pt>
                <c:pt idx="843">
                  <c:v>20000</c:v>
                </c:pt>
                <c:pt idx="844">
                  <c:v>20000</c:v>
                </c:pt>
                <c:pt idx="845">
                  <c:v>20000</c:v>
                </c:pt>
                <c:pt idx="846">
                  <c:v>20000</c:v>
                </c:pt>
                <c:pt idx="847">
                  <c:v>18000</c:v>
                </c:pt>
                <c:pt idx="848">
                  <c:v>18000</c:v>
                </c:pt>
                <c:pt idx="849">
                  <c:v>18000</c:v>
                </c:pt>
                <c:pt idx="850">
                  <c:v>18000</c:v>
                </c:pt>
                <c:pt idx="851">
                  <c:v>18000</c:v>
                </c:pt>
                <c:pt idx="852">
                  <c:v>18000</c:v>
                </c:pt>
                <c:pt idx="853">
                  <c:v>18000</c:v>
                </c:pt>
                <c:pt idx="854">
                  <c:v>18000</c:v>
                </c:pt>
                <c:pt idx="855">
                  <c:v>18000</c:v>
                </c:pt>
                <c:pt idx="856">
                  <c:v>18000</c:v>
                </c:pt>
                <c:pt idx="857">
                  <c:v>18000</c:v>
                </c:pt>
                <c:pt idx="858">
                  <c:v>18000</c:v>
                </c:pt>
                <c:pt idx="859">
                  <c:v>18000</c:v>
                </c:pt>
                <c:pt idx="860">
                  <c:v>18000</c:v>
                </c:pt>
                <c:pt idx="861">
                  <c:v>18000</c:v>
                </c:pt>
                <c:pt idx="862">
                  <c:v>18000</c:v>
                </c:pt>
                <c:pt idx="863">
                  <c:v>18000</c:v>
                </c:pt>
                <c:pt idx="864">
                  <c:v>17500</c:v>
                </c:pt>
                <c:pt idx="865">
                  <c:v>17500</c:v>
                </c:pt>
                <c:pt idx="866">
                  <c:v>17500</c:v>
                </c:pt>
                <c:pt idx="867">
                  <c:v>17500</c:v>
                </c:pt>
                <c:pt idx="868">
                  <c:v>17500</c:v>
                </c:pt>
                <c:pt idx="869">
                  <c:v>17500</c:v>
                </c:pt>
                <c:pt idx="870">
                  <c:v>17500</c:v>
                </c:pt>
                <c:pt idx="871">
                  <c:v>17500</c:v>
                </c:pt>
                <c:pt idx="872">
                  <c:v>17500</c:v>
                </c:pt>
                <c:pt idx="873">
                  <c:v>17500</c:v>
                </c:pt>
                <c:pt idx="874">
                  <c:v>16000</c:v>
                </c:pt>
                <c:pt idx="875">
                  <c:v>16000</c:v>
                </c:pt>
                <c:pt idx="876">
                  <c:v>16000</c:v>
                </c:pt>
                <c:pt idx="877">
                  <c:v>16000</c:v>
                </c:pt>
                <c:pt idx="878">
                  <c:v>16000</c:v>
                </c:pt>
                <c:pt idx="879">
                  <c:v>16000</c:v>
                </c:pt>
                <c:pt idx="880">
                  <c:v>15000</c:v>
                </c:pt>
                <c:pt idx="881">
                  <c:v>15000</c:v>
                </c:pt>
                <c:pt idx="882">
                  <c:v>15000</c:v>
                </c:pt>
                <c:pt idx="883">
                  <c:v>15000</c:v>
                </c:pt>
                <c:pt idx="884">
                  <c:v>15000</c:v>
                </c:pt>
                <c:pt idx="885">
                  <c:v>15000</c:v>
                </c:pt>
                <c:pt idx="886">
                  <c:v>15000</c:v>
                </c:pt>
                <c:pt idx="887">
                  <c:v>15000</c:v>
                </c:pt>
                <c:pt idx="888">
                  <c:v>14000</c:v>
                </c:pt>
                <c:pt idx="889">
                  <c:v>14000</c:v>
                </c:pt>
                <c:pt idx="890">
                  <c:v>14000</c:v>
                </c:pt>
                <c:pt idx="891">
                  <c:v>14000</c:v>
                </c:pt>
                <c:pt idx="892">
                  <c:v>14000</c:v>
                </c:pt>
                <c:pt idx="893">
                  <c:v>14000</c:v>
                </c:pt>
                <c:pt idx="894">
                  <c:v>14000</c:v>
                </c:pt>
                <c:pt idx="895">
                  <c:v>14000</c:v>
                </c:pt>
                <c:pt idx="896">
                  <c:v>14000</c:v>
                </c:pt>
                <c:pt idx="897">
                  <c:v>14000</c:v>
                </c:pt>
                <c:pt idx="898">
                  <c:v>14000</c:v>
                </c:pt>
                <c:pt idx="899">
                  <c:v>14000</c:v>
                </c:pt>
                <c:pt idx="900">
                  <c:v>14000</c:v>
                </c:pt>
                <c:pt idx="901">
                  <c:v>14000</c:v>
                </c:pt>
                <c:pt idx="902">
                  <c:v>14000</c:v>
                </c:pt>
                <c:pt idx="903">
                  <c:v>14000</c:v>
                </c:pt>
                <c:pt idx="904">
                  <c:v>14000</c:v>
                </c:pt>
                <c:pt idx="905">
                  <c:v>12500</c:v>
                </c:pt>
                <c:pt idx="906">
                  <c:v>12500</c:v>
                </c:pt>
                <c:pt idx="907">
                  <c:v>12000</c:v>
                </c:pt>
                <c:pt idx="908">
                  <c:v>12000</c:v>
                </c:pt>
                <c:pt idx="909">
                  <c:v>12000</c:v>
                </c:pt>
                <c:pt idx="910">
                  <c:v>12000</c:v>
                </c:pt>
                <c:pt idx="911">
                  <c:v>12000</c:v>
                </c:pt>
                <c:pt idx="912">
                  <c:v>12000</c:v>
                </c:pt>
                <c:pt idx="913">
                  <c:v>12000</c:v>
                </c:pt>
                <c:pt idx="914">
                  <c:v>12000</c:v>
                </c:pt>
                <c:pt idx="915">
                  <c:v>12000</c:v>
                </c:pt>
                <c:pt idx="916">
                  <c:v>12000</c:v>
                </c:pt>
                <c:pt idx="917">
                  <c:v>12000</c:v>
                </c:pt>
                <c:pt idx="918">
                  <c:v>12000</c:v>
                </c:pt>
                <c:pt idx="919">
                  <c:v>12000</c:v>
                </c:pt>
                <c:pt idx="920">
                  <c:v>12000</c:v>
                </c:pt>
                <c:pt idx="921">
                  <c:v>12000</c:v>
                </c:pt>
                <c:pt idx="922">
                  <c:v>12000</c:v>
                </c:pt>
                <c:pt idx="923">
                  <c:v>12000</c:v>
                </c:pt>
                <c:pt idx="924">
                  <c:v>10500</c:v>
                </c:pt>
                <c:pt idx="925">
                  <c:v>10500</c:v>
                </c:pt>
                <c:pt idx="926">
                  <c:v>10500</c:v>
                </c:pt>
                <c:pt idx="927">
                  <c:v>10500</c:v>
                </c:pt>
                <c:pt idx="928">
                  <c:v>10500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9000</c:v>
                </c:pt>
                <c:pt idx="941">
                  <c:v>9000</c:v>
                </c:pt>
                <c:pt idx="942">
                  <c:v>9000</c:v>
                </c:pt>
                <c:pt idx="943">
                  <c:v>8000</c:v>
                </c:pt>
                <c:pt idx="944">
                  <c:v>8000</c:v>
                </c:pt>
                <c:pt idx="945">
                  <c:v>8000</c:v>
                </c:pt>
                <c:pt idx="946">
                  <c:v>7500</c:v>
                </c:pt>
                <c:pt idx="947">
                  <c:v>7500</c:v>
                </c:pt>
                <c:pt idx="948">
                  <c:v>7500</c:v>
                </c:pt>
                <c:pt idx="949">
                  <c:v>7000</c:v>
                </c:pt>
                <c:pt idx="950">
                  <c:v>7000</c:v>
                </c:pt>
                <c:pt idx="951">
                  <c:v>7000</c:v>
                </c:pt>
                <c:pt idx="952">
                  <c:v>7000</c:v>
                </c:pt>
                <c:pt idx="953">
                  <c:v>7000</c:v>
                </c:pt>
                <c:pt idx="954">
                  <c:v>7000</c:v>
                </c:pt>
                <c:pt idx="955">
                  <c:v>7000</c:v>
                </c:pt>
                <c:pt idx="956">
                  <c:v>7000</c:v>
                </c:pt>
                <c:pt idx="957">
                  <c:v>7000</c:v>
                </c:pt>
                <c:pt idx="958">
                  <c:v>7000</c:v>
                </c:pt>
                <c:pt idx="959">
                  <c:v>7000</c:v>
                </c:pt>
                <c:pt idx="960">
                  <c:v>7000</c:v>
                </c:pt>
                <c:pt idx="961">
                  <c:v>7000</c:v>
                </c:pt>
                <c:pt idx="962">
                  <c:v>6000</c:v>
                </c:pt>
                <c:pt idx="963">
                  <c:v>6000</c:v>
                </c:pt>
                <c:pt idx="964">
                  <c:v>6000</c:v>
                </c:pt>
                <c:pt idx="965">
                  <c:v>6000</c:v>
                </c:pt>
                <c:pt idx="966">
                  <c:v>6000</c:v>
                </c:pt>
                <c:pt idx="967">
                  <c:v>6000</c:v>
                </c:pt>
                <c:pt idx="968">
                  <c:v>6000</c:v>
                </c:pt>
                <c:pt idx="969">
                  <c:v>6000</c:v>
                </c:pt>
                <c:pt idx="970">
                  <c:v>6000</c:v>
                </c:pt>
                <c:pt idx="971">
                  <c:v>6000</c:v>
                </c:pt>
                <c:pt idx="972">
                  <c:v>5000</c:v>
                </c:pt>
                <c:pt idx="973">
                  <c:v>5000</c:v>
                </c:pt>
                <c:pt idx="974">
                  <c:v>5000</c:v>
                </c:pt>
                <c:pt idx="975">
                  <c:v>5000</c:v>
                </c:pt>
                <c:pt idx="976">
                  <c:v>5000</c:v>
                </c:pt>
                <c:pt idx="977">
                  <c:v>5000</c:v>
                </c:pt>
                <c:pt idx="978">
                  <c:v>5000</c:v>
                </c:pt>
                <c:pt idx="979">
                  <c:v>5000</c:v>
                </c:pt>
                <c:pt idx="980">
                  <c:v>5000</c:v>
                </c:pt>
                <c:pt idx="981">
                  <c:v>5000</c:v>
                </c:pt>
                <c:pt idx="982">
                  <c:v>4000</c:v>
                </c:pt>
                <c:pt idx="983">
                  <c:v>3500</c:v>
                </c:pt>
                <c:pt idx="984">
                  <c:v>3500</c:v>
                </c:pt>
                <c:pt idx="985">
                  <c:v>3500</c:v>
                </c:pt>
                <c:pt idx="986">
                  <c:v>3500</c:v>
                </c:pt>
                <c:pt idx="987">
                  <c:v>3500</c:v>
                </c:pt>
                <c:pt idx="988">
                  <c:v>3000</c:v>
                </c:pt>
                <c:pt idx="989">
                  <c:v>3000</c:v>
                </c:pt>
                <c:pt idx="990">
                  <c:v>3000</c:v>
                </c:pt>
                <c:pt idx="991">
                  <c:v>2500</c:v>
                </c:pt>
                <c:pt idx="992">
                  <c:v>2500</c:v>
                </c:pt>
                <c:pt idx="993">
                  <c:v>2500</c:v>
                </c:pt>
                <c:pt idx="994">
                  <c:v>2500</c:v>
                </c:pt>
                <c:pt idx="995">
                  <c:v>2500</c:v>
                </c:pt>
                <c:pt idx="996">
                  <c:v>2500</c:v>
                </c:pt>
                <c:pt idx="997">
                  <c:v>2500</c:v>
                </c:pt>
                <c:pt idx="998">
                  <c:v>2500</c:v>
                </c:pt>
                <c:pt idx="999">
                  <c:v>2500</c:v>
                </c:pt>
              </c:numCache>
            </c:numRef>
          </c:xVal>
          <c:yVal>
            <c:numRef>
              <c:f>dataset_prodejny_nabytek!$H$2:$H$1002</c:f>
              <c:numCache>
                <c:formatCode>General</c:formatCode>
                <c:ptCount val="1001"/>
                <c:pt idx="0">
                  <c:v>103979</c:v>
                </c:pt>
                <c:pt idx="1">
                  <c:v>85573</c:v>
                </c:pt>
                <c:pt idx="2">
                  <c:v>69599</c:v>
                </c:pt>
                <c:pt idx="3">
                  <c:v>64268</c:v>
                </c:pt>
                <c:pt idx="4">
                  <c:v>60718</c:v>
                </c:pt>
                <c:pt idx="5">
                  <c:v>71622</c:v>
                </c:pt>
                <c:pt idx="6">
                  <c:v>77522</c:v>
                </c:pt>
                <c:pt idx="7">
                  <c:v>71706</c:v>
                </c:pt>
                <c:pt idx="8">
                  <c:v>74541</c:v>
                </c:pt>
                <c:pt idx="9">
                  <c:v>60100</c:v>
                </c:pt>
                <c:pt idx="10">
                  <c:v>53665</c:v>
                </c:pt>
                <c:pt idx="11">
                  <c:v>58032</c:v>
                </c:pt>
                <c:pt idx="12">
                  <c:v>89396</c:v>
                </c:pt>
                <c:pt idx="13">
                  <c:v>66443</c:v>
                </c:pt>
                <c:pt idx="14">
                  <c:v>81293</c:v>
                </c:pt>
                <c:pt idx="15">
                  <c:v>83064</c:v>
                </c:pt>
                <c:pt idx="16">
                  <c:v>59647</c:v>
                </c:pt>
                <c:pt idx="17">
                  <c:v>70883</c:v>
                </c:pt>
                <c:pt idx="18">
                  <c:v>46834</c:v>
                </c:pt>
                <c:pt idx="19">
                  <c:v>47259</c:v>
                </c:pt>
                <c:pt idx="20">
                  <c:v>81124</c:v>
                </c:pt>
                <c:pt idx="21">
                  <c:v>44843</c:v>
                </c:pt>
                <c:pt idx="22">
                  <c:v>73278</c:v>
                </c:pt>
                <c:pt idx="23">
                  <c:v>48308</c:v>
                </c:pt>
                <c:pt idx="24">
                  <c:v>69546</c:v>
                </c:pt>
                <c:pt idx="25">
                  <c:v>50398</c:v>
                </c:pt>
                <c:pt idx="26">
                  <c:v>71629</c:v>
                </c:pt>
                <c:pt idx="27">
                  <c:v>63520</c:v>
                </c:pt>
                <c:pt idx="28">
                  <c:v>47490</c:v>
                </c:pt>
                <c:pt idx="29">
                  <c:v>76689</c:v>
                </c:pt>
                <c:pt idx="30">
                  <c:v>54588</c:v>
                </c:pt>
                <c:pt idx="31">
                  <c:v>72430</c:v>
                </c:pt>
                <c:pt idx="32">
                  <c:v>76831</c:v>
                </c:pt>
                <c:pt idx="33">
                  <c:v>74807</c:v>
                </c:pt>
                <c:pt idx="34">
                  <c:v>44734</c:v>
                </c:pt>
                <c:pt idx="35">
                  <c:v>45100</c:v>
                </c:pt>
                <c:pt idx="36">
                  <c:v>52482</c:v>
                </c:pt>
                <c:pt idx="37">
                  <c:v>52683</c:v>
                </c:pt>
                <c:pt idx="38">
                  <c:v>65071</c:v>
                </c:pt>
                <c:pt idx="39">
                  <c:v>71809</c:v>
                </c:pt>
                <c:pt idx="40">
                  <c:v>62708</c:v>
                </c:pt>
                <c:pt idx="41">
                  <c:v>41361</c:v>
                </c:pt>
                <c:pt idx="42">
                  <c:v>63853</c:v>
                </c:pt>
                <c:pt idx="43">
                  <c:v>39922</c:v>
                </c:pt>
                <c:pt idx="44">
                  <c:v>48245</c:v>
                </c:pt>
                <c:pt idx="45">
                  <c:v>57218</c:v>
                </c:pt>
                <c:pt idx="46">
                  <c:v>53654</c:v>
                </c:pt>
                <c:pt idx="47">
                  <c:v>51756</c:v>
                </c:pt>
                <c:pt idx="48">
                  <c:v>37899</c:v>
                </c:pt>
                <c:pt idx="49">
                  <c:v>55015</c:v>
                </c:pt>
                <c:pt idx="50">
                  <c:v>58610</c:v>
                </c:pt>
                <c:pt idx="51">
                  <c:v>50019</c:v>
                </c:pt>
                <c:pt idx="52">
                  <c:v>51935</c:v>
                </c:pt>
                <c:pt idx="53">
                  <c:v>63518</c:v>
                </c:pt>
                <c:pt idx="54">
                  <c:v>60312</c:v>
                </c:pt>
                <c:pt idx="55">
                  <c:v>38443</c:v>
                </c:pt>
                <c:pt idx="56">
                  <c:v>51034</c:v>
                </c:pt>
                <c:pt idx="57">
                  <c:v>56895</c:v>
                </c:pt>
                <c:pt idx="58">
                  <c:v>47025</c:v>
                </c:pt>
                <c:pt idx="59">
                  <c:v>58968</c:v>
                </c:pt>
                <c:pt idx="60">
                  <c:v>46152</c:v>
                </c:pt>
                <c:pt idx="61">
                  <c:v>51886</c:v>
                </c:pt>
                <c:pt idx="62">
                  <c:v>57274</c:v>
                </c:pt>
                <c:pt idx="63">
                  <c:v>35102</c:v>
                </c:pt>
                <c:pt idx="64">
                  <c:v>31245</c:v>
                </c:pt>
                <c:pt idx="65">
                  <c:v>39766</c:v>
                </c:pt>
                <c:pt idx="66">
                  <c:v>36457</c:v>
                </c:pt>
                <c:pt idx="67">
                  <c:v>53360</c:v>
                </c:pt>
                <c:pt idx="68">
                  <c:v>51266</c:v>
                </c:pt>
                <c:pt idx="69">
                  <c:v>40811</c:v>
                </c:pt>
                <c:pt idx="70">
                  <c:v>39075</c:v>
                </c:pt>
                <c:pt idx="71">
                  <c:v>43926</c:v>
                </c:pt>
                <c:pt idx="72">
                  <c:v>38773</c:v>
                </c:pt>
                <c:pt idx="73">
                  <c:v>36559</c:v>
                </c:pt>
                <c:pt idx="74">
                  <c:v>56867</c:v>
                </c:pt>
                <c:pt idx="75">
                  <c:v>48081</c:v>
                </c:pt>
                <c:pt idx="76">
                  <c:v>55085</c:v>
                </c:pt>
                <c:pt idx="77">
                  <c:v>53707</c:v>
                </c:pt>
                <c:pt idx="78">
                  <c:v>32909</c:v>
                </c:pt>
                <c:pt idx="79">
                  <c:v>29320</c:v>
                </c:pt>
                <c:pt idx="80">
                  <c:v>40668</c:v>
                </c:pt>
                <c:pt idx="81">
                  <c:v>30638</c:v>
                </c:pt>
                <c:pt idx="82">
                  <c:v>40366</c:v>
                </c:pt>
                <c:pt idx="83">
                  <c:v>29563</c:v>
                </c:pt>
                <c:pt idx="84">
                  <c:v>27524</c:v>
                </c:pt>
                <c:pt idx="85">
                  <c:v>28641</c:v>
                </c:pt>
                <c:pt idx="86">
                  <c:v>46064</c:v>
                </c:pt>
                <c:pt idx="87">
                  <c:v>37516</c:v>
                </c:pt>
                <c:pt idx="88">
                  <c:v>44887</c:v>
                </c:pt>
                <c:pt idx="89">
                  <c:v>44171</c:v>
                </c:pt>
                <c:pt idx="90">
                  <c:v>34662</c:v>
                </c:pt>
                <c:pt idx="91">
                  <c:v>40524</c:v>
                </c:pt>
                <c:pt idx="92">
                  <c:v>51871</c:v>
                </c:pt>
                <c:pt idx="93">
                  <c:v>44606</c:v>
                </c:pt>
                <c:pt idx="94">
                  <c:v>26633</c:v>
                </c:pt>
                <c:pt idx="95">
                  <c:v>50008</c:v>
                </c:pt>
                <c:pt idx="96">
                  <c:v>27737</c:v>
                </c:pt>
                <c:pt idx="97">
                  <c:v>42697</c:v>
                </c:pt>
                <c:pt idx="98">
                  <c:v>40319</c:v>
                </c:pt>
                <c:pt idx="99">
                  <c:v>46355</c:v>
                </c:pt>
                <c:pt idx="100">
                  <c:v>46537</c:v>
                </c:pt>
                <c:pt idx="101">
                  <c:v>34446</c:v>
                </c:pt>
                <c:pt idx="102">
                  <c:v>40761</c:v>
                </c:pt>
                <c:pt idx="103">
                  <c:v>41459</c:v>
                </c:pt>
                <c:pt idx="104">
                  <c:v>44638</c:v>
                </c:pt>
                <c:pt idx="105">
                  <c:v>39805</c:v>
                </c:pt>
                <c:pt idx="106">
                  <c:v>25698</c:v>
                </c:pt>
                <c:pt idx="107">
                  <c:v>28533</c:v>
                </c:pt>
                <c:pt idx="108">
                  <c:v>36961</c:v>
                </c:pt>
                <c:pt idx="109">
                  <c:v>23620</c:v>
                </c:pt>
                <c:pt idx="110">
                  <c:v>24631</c:v>
                </c:pt>
                <c:pt idx="111">
                  <c:v>23722</c:v>
                </c:pt>
                <c:pt idx="112">
                  <c:v>44787</c:v>
                </c:pt>
                <c:pt idx="113">
                  <c:v>24987</c:v>
                </c:pt>
                <c:pt idx="114">
                  <c:v>39967</c:v>
                </c:pt>
                <c:pt idx="115">
                  <c:v>43412</c:v>
                </c:pt>
                <c:pt idx="116">
                  <c:v>42372</c:v>
                </c:pt>
                <c:pt idx="117">
                  <c:v>46699</c:v>
                </c:pt>
                <c:pt idx="118">
                  <c:v>32982</c:v>
                </c:pt>
                <c:pt idx="119">
                  <c:v>32061</c:v>
                </c:pt>
                <c:pt idx="120">
                  <c:v>44340</c:v>
                </c:pt>
                <c:pt idx="121">
                  <c:v>35283</c:v>
                </c:pt>
                <c:pt idx="122">
                  <c:v>37261</c:v>
                </c:pt>
                <c:pt idx="123">
                  <c:v>37625</c:v>
                </c:pt>
                <c:pt idx="124">
                  <c:v>29179</c:v>
                </c:pt>
                <c:pt idx="125">
                  <c:v>41962</c:v>
                </c:pt>
                <c:pt idx="126">
                  <c:v>45036</c:v>
                </c:pt>
                <c:pt idx="127">
                  <c:v>39380</c:v>
                </c:pt>
                <c:pt idx="128">
                  <c:v>26281</c:v>
                </c:pt>
                <c:pt idx="129">
                  <c:v>25794</c:v>
                </c:pt>
                <c:pt idx="130">
                  <c:v>34373</c:v>
                </c:pt>
                <c:pt idx="131">
                  <c:v>39016</c:v>
                </c:pt>
                <c:pt idx="132">
                  <c:v>34917</c:v>
                </c:pt>
                <c:pt idx="133">
                  <c:v>32024</c:v>
                </c:pt>
                <c:pt idx="134">
                  <c:v>42925</c:v>
                </c:pt>
                <c:pt idx="135">
                  <c:v>41138</c:v>
                </c:pt>
                <c:pt idx="136">
                  <c:v>26288</c:v>
                </c:pt>
                <c:pt idx="137">
                  <c:v>26809</c:v>
                </c:pt>
                <c:pt idx="138">
                  <c:v>43167</c:v>
                </c:pt>
                <c:pt idx="139">
                  <c:v>22259</c:v>
                </c:pt>
                <c:pt idx="140">
                  <c:v>22752</c:v>
                </c:pt>
                <c:pt idx="141">
                  <c:v>32044</c:v>
                </c:pt>
                <c:pt idx="142">
                  <c:v>32143</c:v>
                </c:pt>
                <c:pt idx="143">
                  <c:v>30862</c:v>
                </c:pt>
                <c:pt idx="144">
                  <c:v>31327</c:v>
                </c:pt>
                <c:pt idx="145">
                  <c:v>30985</c:v>
                </c:pt>
                <c:pt idx="146">
                  <c:v>31646</c:v>
                </c:pt>
                <c:pt idx="147">
                  <c:v>35998</c:v>
                </c:pt>
                <c:pt idx="148">
                  <c:v>27607</c:v>
                </c:pt>
                <c:pt idx="149">
                  <c:v>40059</c:v>
                </c:pt>
                <c:pt idx="150">
                  <c:v>35973</c:v>
                </c:pt>
                <c:pt idx="151">
                  <c:v>22963</c:v>
                </c:pt>
                <c:pt idx="152">
                  <c:v>37918</c:v>
                </c:pt>
                <c:pt idx="153">
                  <c:v>26202</c:v>
                </c:pt>
                <c:pt idx="154">
                  <c:v>34576</c:v>
                </c:pt>
                <c:pt idx="155">
                  <c:v>22019</c:v>
                </c:pt>
                <c:pt idx="156">
                  <c:v>20759</c:v>
                </c:pt>
                <c:pt idx="157">
                  <c:v>24298</c:v>
                </c:pt>
                <c:pt idx="158">
                  <c:v>33271</c:v>
                </c:pt>
                <c:pt idx="159">
                  <c:v>34501</c:v>
                </c:pt>
                <c:pt idx="160">
                  <c:v>21734</c:v>
                </c:pt>
                <c:pt idx="161">
                  <c:v>30472</c:v>
                </c:pt>
                <c:pt idx="162">
                  <c:v>30455</c:v>
                </c:pt>
                <c:pt idx="163">
                  <c:v>20391</c:v>
                </c:pt>
                <c:pt idx="164">
                  <c:v>31845</c:v>
                </c:pt>
                <c:pt idx="165">
                  <c:v>33127</c:v>
                </c:pt>
                <c:pt idx="166">
                  <c:v>37072</c:v>
                </c:pt>
                <c:pt idx="167">
                  <c:v>31682</c:v>
                </c:pt>
                <c:pt idx="168">
                  <c:v>25747</c:v>
                </c:pt>
                <c:pt idx="169">
                  <c:v>20323</c:v>
                </c:pt>
                <c:pt idx="170">
                  <c:v>25852</c:v>
                </c:pt>
                <c:pt idx="171">
                  <c:v>35684</c:v>
                </c:pt>
                <c:pt idx="172">
                  <c:v>23189</c:v>
                </c:pt>
                <c:pt idx="173">
                  <c:v>38847</c:v>
                </c:pt>
                <c:pt idx="174">
                  <c:v>25612</c:v>
                </c:pt>
                <c:pt idx="175">
                  <c:v>38469</c:v>
                </c:pt>
                <c:pt idx="176">
                  <c:v>34778</c:v>
                </c:pt>
                <c:pt idx="177">
                  <c:v>23388</c:v>
                </c:pt>
                <c:pt idx="178">
                  <c:v>30566</c:v>
                </c:pt>
                <c:pt idx="179">
                  <c:v>20591</c:v>
                </c:pt>
                <c:pt idx="180">
                  <c:v>33496</c:v>
                </c:pt>
                <c:pt idx="181">
                  <c:v>34305</c:v>
                </c:pt>
                <c:pt idx="182">
                  <c:v>35462</c:v>
                </c:pt>
                <c:pt idx="183">
                  <c:v>27682</c:v>
                </c:pt>
                <c:pt idx="184">
                  <c:v>35086</c:v>
                </c:pt>
                <c:pt idx="185">
                  <c:v>21028</c:v>
                </c:pt>
                <c:pt idx="186">
                  <c:v>33533</c:v>
                </c:pt>
                <c:pt idx="187">
                  <c:v>32974</c:v>
                </c:pt>
                <c:pt idx="188">
                  <c:v>35430</c:v>
                </c:pt>
                <c:pt idx="189">
                  <c:v>28026</c:v>
                </c:pt>
                <c:pt idx="190">
                  <c:v>25477</c:v>
                </c:pt>
                <c:pt idx="191">
                  <c:v>35278</c:v>
                </c:pt>
                <c:pt idx="192">
                  <c:v>35912</c:v>
                </c:pt>
                <c:pt idx="193">
                  <c:v>21726</c:v>
                </c:pt>
                <c:pt idx="194">
                  <c:v>32107</c:v>
                </c:pt>
                <c:pt idx="195">
                  <c:v>35508</c:v>
                </c:pt>
                <c:pt idx="196">
                  <c:v>22707</c:v>
                </c:pt>
                <c:pt idx="197">
                  <c:v>18659</c:v>
                </c:pt>
                <c:pt idx="198">
                  <c:v>26637</c:v>
                </c:pt>
                <c:pt idx="199">
                  <c:v>30138</c:v>
                </c:pt>
                <c:pt idx="200">
                  <c:v>20608</c:v>
                </c:pt>
                <c:pt idx="201">
                  <c:v>33816</c:v>
                </c:pt>
                <c:pt idx="202">
                  <c:v>35400</c:v>
                </c:pt>
                <c:pt idx="203">
                  <c:v>34615</c:v>
                </c:pt>
                <c:pt idx="204">
                  <c:v>32162</c:v>
                </c:pt>
                <c:pt idx="205">
                  <c:v>35723</c:v>
                </c:pt>
                <c:pt idx="206">
                  <c:v>34647</c:v>
                </c:pt>
                <c:pt idx="207">
                  <c:v>28234</c:v>
                </c:pt>
                <c:pt idx="208">
                  <c:v>28404</c:v>
                </c:pt>
                <c:pt idx="209">
                  <c:v>32840</c:v>
                </c:pt>
                <c:pt idx="210">
                  <c:v>23602</c:v>
                </c:pt>
                <c:pt idx="211">
                  <c:v>27818</c:v>
                </c:pt>
                <c:pt idx="212">
                  <c:v>30587</c:v>
                </c:pt>
                <c:pt idx="213">
                  <c:v>22633</c:v>
                </c:pt>
                <c:pt idx="214">
                  <c:v>23609</c:v>
                </c:pt>
                <c:pt idx="215">
                  <c:v>26137</c:v>
                </c:pt>
                <c:pt idx="216">
                  <c:v>27498</c:v>
                </c:pt>
                <c:pt idx="217">
                  <c:v>29076</c:v>
                </c:pt>
                <c:pt idx="218">
                  <c:v>32228</c:v>
                </c:pt>
                <c:pt idx="219">
                  <c:v>26536</c:v>
                </c:pt>
                <c:pt idx="220">
                  <c:v>27019</c:v>
                </c:pt>
                <c:pt idx="221">
                  <c:v>19906</c:v>
                </c:pt>
                <c:pt idx="222">
                  <c:v>29887</c:v>
                </c:pt>
                <c:pt idx="223">
                  <c:v>34197</c:v>
                </c:pt>
                <c:pt idx="224">
                  <c:v>35440</c:v>
                </c:pt>
                <c:pt idx="225">
                  <c:v>26775</c:v>
                </c:pt>
                <c:pt idx="226">
                  <c:v>24738</c:v>
                </c:pt>
                <c:pt idx="227">
                  <c:v>24360</c:v>
                </c:pt>
                <c:pt idx="228">
                  <c:v>31673</c:v>
                </c:pt>
                <c:pt idx="229">
                  <c:v>22798</c:v>
                </c:pt>
                <c:pt idx="230">
                  <c:v>22456</c:v>
                </c:pt>
                <c:pt idx="231">
                  <c:v>25523</c:v>
                </c:pt>
                <c:pt idx="232">
                  <c:v>22548</c:v>
                </c:pt>
                <c:pt idx="233">
                  <c:v>19403</c:v>
                </c:pt>
                <c:pt idx="234">
                  <c:v>31377</c:v>
                </c:pt>
                <c:pt idx="235">
                  <c:v>21875</c:v>
                </c:pt>
                <c:pt idx="236">
                  <c:v>23029</c:v>
                </c:pt>
                <c:pt idx="237">
                  <c:v>27743</c:v>
                </c:pt>
                <c:pt idx="238">
                  <c:v>18652</c:v>
                </c:pt>
                <c:pt idx="239">
                  <c:v>31304</c:v>
                </c:pt>
                <c:pt idx="240">
                  <c:v>30793</c:v>
                </c:pt>
                <c:pt idx="241">
                  <c:v>16616</c:v>
                </c:pt>
                <c:pt idx="242">
                  <c:v>16551</c:v>
                </c:pt>
                <c:pt idx="243">
                  <c:v>24100</c:v>
                </c:pt>
                <c:pt idx="244">
                  <c:v>32790</c:v>
                </c:pt>
                <c:pt idx="245">
                  <c:v>31543</c:v>
                </c:pt>
                <c:pt idx="246">
                  <c:v>25202</c:v>
                </c:pt>
                <c:pt idx="247">
                  <c:v>29755</c:v>
                </c:pt>
                <c:pt idx="248">
                  <c:v>30900</c:v>
                </c:pt>
                <c:pt idx="249">
                  <c:v>21017</c:v>
                </c:pt>
                <c:pt idx="250">
                  <c:v>18632</c:v>
                </c:pt>
                <c:pt idx="251">
                  <c:v>23356</c:v>
                </c:pt>
                <c:pt idx="252">
                  <c:v>31024</c:v>
                </c:pt>
                <c:pt idx="253">
                  <c:v>17369</c:v>
                </c:pt>
                <c:pt idx="254">
                  <c:v>17082</c:v>
                </c:pt>
                <c:pt idx="255">
                  <c:v>31781</c:v>
                </c:pt>
                <c:pt idx="256">
                  <c:v>19297</c:v>
                </c:pt>
                <c:pt idx="257">
                  <c:v>26677</c:v>
                </c:pt>
                <c:pt idx="258">
                  <c:v>26379</c:v>
                </c:pt>
                <c:pt idx="259">
                  <c:v>20343</c:v>
                </c:pt>
                <c:pt idx="260">
                  <c:v>27355</c:v>
                </c:pt>
                <c:pt idx="261">
                  <c:v>32209</c:v>
                </c:pt>
                <c:pt idx="262">
                  <c:v>25470</c:v>
                </c:pt>
                <c:pt idx="263">
                  <c:v>23205</c:v>
                </c:pt>
                <c:pt idx="264">
                  <c:v>22862</c:v>
                </c:pt>
                <c:pt idx="265">
                  <c:v>29496</c:v>
                </c:pt>
                <c:pt idx="266">
                  <c:v>22684</c:v>
                </c:pt>
                <c:pt idx="267">
                  <c:v>25729</c:v>
                </c:pt>
                <c:pt idx="268">
                  <c:v>30692</c:v>
                </c:pt>
                <c:pt idx="269">
                  <c:v>17129</c:v>
                </c:pt>
                <c:pt idx="270">
                  <c:v>26154</c:v>
                </c:pt>
                <c:pt idx="271">
                  <c:v>26257</c:v>
                </c:pt>
                <c:pt idx="272">
                  <c:v>24688</c:v>
                </c:pt>
                <c:pt idx="273">
                  <c:v>20494</c:v>
                </c:pt>
                <c:pt idx="274">
                  <c:v>19941</c:v>
                </c:pt>
                <c:pt idx="275">
                  <c:v>18137</c:v>
                </c:pt>
                <c:pt idx="276">
                  <c:v>22886</c:v>
                </c:pt>
                <c:pt idx="277">
                  <c:v>22480</c:v>
                </c:pt>
                <c:pt idx="278">
                  <c:v>19455</c:v>
                </c:pt>
                <c:pt idx="279">
                  <c:v>24920</c:v>
                </c:pt>
                <c:pt idx="280">
                  <c:v>25694</c:v>
                </c:pt>
                <c:pt idx="281">
                  <c:v>16086</c:v>
                </c:pt>
                <c:pt idx="282">
                  <c:v>16896</c:v>
                </c:pt>
                <c:pt idx="283">
                  <c:v>20205</c:v>
                </c:pt>
                <c:pt idx="284">
                  <c:v>24663</c:v>
                </c:pt>
                <c:pt idx="285">
                  <c:v>20773</c:v>
                </c:pt>
                <c:pt idx="286">
                  <c:v>18515</c:v>
                </c:pt>
                <c:pt idx="287">
                  <c:v>27138</c:v>
                </c:pt>
                <c:pt idx="288">
                  <c:v>18221</c:v>
                </c:pt>
                <c:pt idx="289">
                  <c:v>25150</c:v>
                </c:pt>
                <c:pt idx="290">
                  <c:v>28859</c:v>
                </c:pt>
                <c:pt idx="291">
                  <c:v>18724</c:v>
                </c:pt>
                <c:pt idx="292">
                  <c:v>24802</c:v>
                </c:pt>
                <c:pt idx="293">
                  <c:v>21206</c:v>
                </c:pt>
                <c:pt idx="294">
                  <c:v>21863</c:v>
                </c:pt>
                <c:pt idx="295">
                  <c:v>20263</c:v>
                </c:pt>
                <c:pt idx="296">
                  <c:v>21633</c:v>
                </c:pt>
                <c:pt idx="297">
                  <c:v>21237</c:v>
                </c:pt>
                <c:pt idx="298">
                  <c:v>16269</c:v>
                </c:pt>
                <c:pt idx="299">
                  <c:v>22665</c:v>
                </c:pt>
                <c:pt idx="300">
                  <c:v>25537</c:v>
                </c:pt>
                <c:pt idx="301">
                  <c:v>18209</c:v>
                </c:pt>
                <c:pt idx="302">
                  <c:v>24083</c:v>
                </c:pt>
                <c:pt idx="303">
                  <c:v>26393</c:v>
                </c:pt>
                <c:pt idx="304">
                  <c:v>23830</c:v>
                </c:pt>
                <c:pt idx="305">
                  <c:v>21282</c:v>
                </c:pt>
                <c:pt idx="306">
                  <c:v>20432</c:v>
                </c:pt>
                <c:pt idx="307">
                  <c:v>26698</c:v>
                </c:pt>
                <c:pt idx="308">
                  <c:v>26512</c:v>
                </c:pt>
                <c:pt idx="309">
                  <c:v>26347</c:v>
                </c:pt>
                <c:pt idx="310">
                  <c:v>20468</c:v>
                </c:pt>
                <c:pt idx="311">
                  <c:v>24393</c:v>
                </c:pt>
                <c:pt idx="312">
                  <c:v>14790</c:v>
                </c:pt>
                <c:pt idx="313">
                  <c:v>26680</c:v>
                </c:pt>
                <c:pt idx="314">
                  <c:v>23674</c:v>
                </c:pt>
                <c:pt idx="315">
                  <c:v>25573</c:v>
                </c:pt>
                <c:pt idx="316">
                  <c:v>23056</c:v>
                </c:pt>
                <c:pt idx="317">
                  <c:v>21451</c:v>
                </c:pt>
                <c:pt idx="318">
                  <c:v>26750</c:v>
                </c:pt>
                <c:pt idx="319">
                  <c:v>18166</c:v>
                </c:pt>
                <c:pt idx="320">
                  <c:v>25370</c:v>
                </c:pt>
                <c:pt idx="321">
                  <c:v>15347</c:v>
                </c:pt>
                <c:pt idx="322">
                  <c:v>17574</c:v>
                </c:pt>
                <c:pt idx="323">
                  <c:v>25615</c:v>
                </c:pt>
                <c:pt idx="324">
                  <c:v>19759</c:v>
                </c:pt>
                <c:pt idx="325">
                  <c:v>18532</c:v>
                </c:pt>
                <c:pt idx="326">
                  <c:v>17526</c:v>
                </c:pt>
                <c:pt idx="327">
                  <c:v>25515</c:v>
                </c:pt>
                <c:pt idx="328">
                  <c:v>22770</c:v>
                </c:pt>
                <c:pt idx="329">
                  <c:v>19256</c:v>
                </c:pt>
                <c:pt idx="330">
                  <c:v>21960</c:v>
                </c:pt>
                <c:pt idx="331">
                  <c:v>21119</c:v>
                </c:pt>
                <c:pt idx="332">
                  <c:v>15659</c:v>
                </c:pt>
                <c:pt idx="333">
                  <c:v>24079</c:v>
                </c:pt>
                <c:pt idx="334">
                  <c:v>22135</c:v>
                </c:pt>
                <c:pt idx="335">
                  <c:v>21629</c:v>
                </c:pt>
                <c:pt idx="336">
                  <c:v>14327</c:v>
                </c:pt>
                <c:pt idx="337">
                  <c:v>25964</c:v>
                </c:pt>
                <c:pt idx="338">
                  <c:v>18419</c:v>
                </c:pt>
                <c:pt idx="339">
                  <c:v>16843</c:v>
                </c:pt>
                <c:pt idx="340">
                  <c:v>22694</c:v>
                </c:pt>
                <c:pt idx="341">
                  <c:v>21035</c:v>
                </c:pt>
                <c:pt idx="342">
                  <c:v>21237</c:v>
                </c:pt>
                <c:pt idx="343">
                  <c:v>13815</c:v>
                </c:pt>
                <c:pt idx="344">
                  <c:v>18460</c:v>
                </c:pt>
                <c:pt idx="345">
                  <c:v>22828</c:v>
                </c:pt>
                <c:pt idx="346">
                  <c:v>15700</c:v>
                </c:pt>
                <c:pt idx="347">
                  <c:v>25117</c:v>
                </c:pt>
                <c:pt idx="348">
                  <c:v>18009</c:v>
                </c:pt>
                <c:pt idx="349">
                  <c:v>17480</c:v>
                </c:pt>
                <c:pt idx="350">
                  <c:v>17526</c:v>
                </c:pt>
                <c:pt idx="351">
                  <c:v>18164</c:v>
                </c:pt>
                <c:pt idx="352">
                  <c:v>21318</c:v>
                </c:pt>
                <c:pt idx="353">
                  <c:v>22850</c:v>
                </c:pt>
                <c:pt idx="354">
                  <c:v>16382</c:v>
                </c:pt>
                <c:pt idx="355">
                  <c:v>13876</c:v>
                </c:pt>
                <c:pt idx="356">
                  <c:v>22738</c:v>
                </c:pt>
                <c:pt idx="357">
                  <c:v>18368</c:v>
                </c:pt>
                <c:pt idx="358">
                  <c:v>24372</c:v>
                </c:pt>
                <c:pt idx="359">
                  <c:v>23029</c:v>
                </c:pt>
                <c:pt idx="360">
                  <c:v>13361</c:v>
                </c:pt>
                <c:pt idx="361">
                  <c:v>15532</c:v>
                </c:pt>
                <c:pt idx="362">
                  <c:v>15813</c:v>
                </c:pt>
                <c:pt idx="363">
                  <c:v>16605</c:v>
                </c:pt>
                <c:pt idx="364">
                  <c:v>21026</c:v>
                </c:pt>
                <c:pt idx="365">
                  <c:v>15957</c:v>
                </c:pt>
                <c:pt idx="366">
                  <c:v>18435</c:v>
                </c:pt>
                <c:pt idx="367">
                  <c:v>21789</c:v>
                </c:pt>
                <c:pt idx="368">
                  <c:v>14703</c:v>
                </c:pt>
                <c:pt idx="369">
                  <c:v>20444</c:v>
                </c:pt>
                <c:pt idx="370">
                  <c:v>21037</c:v>
                </c:pt>
                <c:pt idx="371">
                  <c:v>25085</c:v>
                </c:pt>
                <c:pt idx="372">
                  <c:v>17845</c:v>
                </c:pt>
                <c:pt idx="373">
                  <c:v>24117</c:v>
                </c:pt>
                <c:pt idx="374">
                  <c:v>19230</c:v>
                </c:pt>
                <c:pt idx="375">
                  <c:v>22084</c:v>
                </c:pt>
                <c:pt idx="376">
                  <c:v>18435</c:v>
                </c:pt>
                <c:pt idx="377">
                  <c:v>20800</c:v>
                </c:pt>
                <c:pt idx="378">
                  <c:v>21571</c:v>
                </c:pt>
                <c:pt idx="379">
                  <c:v>20387</c:v>
                </c:pt>
                <c:pt idx="380">
                  <c:v>18464</c:v>
                </c:pt>
                <c:pt idx="381">
                  <c:v>22517</c:v>
                </c:pt>
                <c:pt idx="382">
                  <c:v>12348</c:v>
                </c:pt>
                <c:pt idx="383">
                  <c:v>20506</c:v>
                </c:pt>
                <c:pt idx="384">
                  <c:v>22545</c:v>
                </c:pt>
                <c:pt idx="385">
                  <c:v>12661</c:v>
                </c:pt>
                <c:pt idx="386">
                  <c:v>13325</c:v>
                </c:pt>
                <c:pt idx="387">
                  <c:v>22139</c:v>
                </c:pt>
                <c:pt idx="388">
                  <c:v>17219</c:v>
                </c:pt>
                <c:pt idx="389">
                  <c:v>21341</c:v>
                </c:pt>
                <c:pt idx="390">
                  <c:v>12573</c:v>
                </c:pt>
                <c:pt idx="391">
                  <c:v>23921</c:v>
                </c:pt>
                <c:pt idx="392">
                  <c:v>19971</c:v>
                </c:pt>
                <c:pt idx="393">
                  <c:v>17631</c:v>
                </c:pt>
                <c:pt idx="394">
                  <c:v>13985</c:v>
                </c:pt>
                <c:pt idx="395">
                  <c:v>16323</c:v>
                </c:pt>
                <c:pt idx="396">
                  <c:v>15087</c:v>
                </c:pt>
                <c:pt idx="397">
                  <c:v>13017</c:v>
                </c:pt>
                <c:pt idx="398">
                  <c:v>16157</c:v>
                </c:pt>
                <c:pt idx="399">
                  <c:v>15754</c:v>
                </c:pt>
                <c:pt idx="400">
                  <c:v>16443</c:v>
                </c:pt>
                <c:pt idx="401">
                  <c:v>16813</c:v>
                </c:pt>
                <c:pt idx="402">
                  <c:v>11603</c:v>
                </c:pt>
                <c:pt idx="403">
                  <c:v>14266</c:v>
                </c:pt>
                <c:pt idx="404">
                  <c:v>20836</c:v>
                </c:pt>
                <c:pt idx="405">
                  <c:v>12914</c:v>
                </c:pt>
                <c:pt idx="406">
                  <c:v>18190</c:v>
                </c:pt>
                <c:pt idx="407">
                  <c:v>22034</c:v>
                </c:pt>
                <c:pt idx="408">
                  <c:v>11306</c:v>
                </c:pt>
                <c:pt idx="409">
                  <c:v>12574</c:v>
                </c:pt>
                <c:pt idx="410">
                  <c:v>13551</c:v>
                </c:pt>
                <c:pt idx="411">
                  <c:v>19251</c:v>
                </c:pt>
                <c:pt idx="412">
                  <c:v>20716</c:v>
                </c:pt>
                <c:pt idx="413">
                  <c:v>11227</c:v>
                </c:pt>
                <c:pt idx="414">
                  <c:v>12244</c:v>
                </c:pt>
                <c:pt idx="415">
                  <c:v>21307</c:v>
                </c:pt>
                <c:pt idx="416">
                  <c:v>19765</c:v>
                </c:pt>
                <c:pt idx="417">
                  <c:v>16021</c:v>
                </c:pt>
                <c:pt idx="418">
                  <c:v>13352</c:v>
                </c:pt>
                <c:pt idx="419">
                  <c:v>21088</c:v>
                </c:pt>
                <c:pt idx="420">
                  <c:v>14489</c:v>
                </c:pt>
                <c:pt idx="421">
                  <c:v>21171</c:v>
                </c:pt>
                <c:pt idx="422">
                  <c:v>14882</c:v>
                </c:pt>
                <c:pt idx="423">
                  <c:v>21380</c:v>
                </c:pt>
                <c:pt idx="424">
                  <c:v>21376</c:v>
                </c:pt>
                <c:pt idx="425">
                  <c:v>18009</c:v>
                </c:pt>
                <c:pt idx="426">
                  <c:v>16964</c:v>
                </c:pt>
                <c:pt idx="427">
                  <c:v>18632</c:v>
                </c:pt>
                <c:pt idx="428">
                  <c:v>16283</c:v>
                </c:pt>
                <c:pt idx="429">
                  <c:v>17505</c:v>
                </c:pt>
                <c:pt idx="430">
                  <c:v>16011</c:v>
                </c:pt>
                <c:pt idx="431">
                  <c:v>11925</c:v>
                </c:pt>
                <c:pt idx="432">
                  <c:v>15325</c:v>
                </c:pt>
                <c:pt idx="433">
                  <c:v>17308</c:v>
                </c:pt>
                <c:pt idx="434">
                  <c:v>16186</c:v>
                </c:pt>
                <c:pt idx="435">
                  <c:v>21209</c:v>
                </c:pt>
                <c:pt idx="436">
                  <c:v>19309</c:v>
                </c:pt>
                <c:pt idx="437">
                  <c:v>12134</c:v>
                </c:pt>
                <c:pt idx="438">
                  <c:v>20956</c:v>
                </c:pt>
                <c:pt idx="439">
                  <c:v>19280</c:v>
                </c:pt>
                <c:pt idx="440">
                  <c:v>11180</c:v>
                </c:pt>
                <c:pt idx="441">
                  <c:v>12355</c:v>
                </c:pt>
                <c:pt idx="442">
                  <c:v>14600</c:v>
                </c:pt>
                <c:pt idx="443">
                  <c:v>14020</c:v>
                </c:pt>
                <c:pt idx="444">
                  <c:v>11711</c:v>
                </c:pt>
                <c:pt idx="445">
                  <c:v>14934</c:v>
                </c:pt>
                <c:pt idx="446">
                  <c:v>20325</c:v>
                </c:pt>
                <c:pt idx="447">
                  <c:v>18738</c:v>
                </c:pt>
                <c:pt idx="448">
                  <c:v>16829</c:v>
                </c:pt>
                <c:pt idx="449">
                  <c:v>13440</c:v>
                </c:pt>
                <c:pt idx="450">
                  <c:v>12997</c:v>
                </c:pt>
                <c:pt idx="451">
                  <c:v>20642</c:v>
                </c:pt>
                <c:pt idx="452">
                  <c:v>15528</c:v>
                </c:pt>
                <c:pt idx="453">
                  <c:v>13395</c:v>
                </c:pt>
                <c:pt idx="454">
                  <c:v>16629</c:v>
                </c:pt>
                <c:pt idx="455">
                  <c:v>15791</c:v>
                </c:pt>
                <c:pt idx="456">
                  <c:v>11590</c:v>
                </c:pt>
                <c:pt idx="457">
                  <c:v>20774</c:v>
                </c:pt>
                <c:pt idx="458">
                  <c:v>18208</c:v>
                </c:pt>
                <c:pt idx="459">
                  <c:v>11336</c:v>
                </c:pt>
                <c:pt idx="460">
                  <c:v>12485</c:v>
                </c:pt>
                <c:pt idx="461">
                  <c:v>17344</c:v>
                </c:pt>
                <c:pt idx="462">
                  <c:v>13830</c:v>
                </c:pt>
                <c:pt idx="463">
                  <c:v>18978</c:v>
                </c:pt>
                <c:pt idx="464">
                  <c:v>12329</c:v>
                </c:pt>
                <c:pt idx="465">
                  <c:v>13169</c:v>
                </c:pt>
                <c:pt idx="466">
                  <c:v>13557</c:v>
                </c:pt>
                <c:pt idx="467">
                  <c:v>15269</c:v>
                </c:pt>
                <c:pt idx="468">
                  <c:v>17128</c:v>
                </c:pt>
                <c:pt idx="469">
                  <c:v>13491</c:v>
                </c:pt>
                <c:pt idx="470">
                  <c:v>15608</c:v>
                </c:pt>
                <c:pt idx="471">
                  <c:v>15651</c:v>
                </c:pt>
                <c:pt idx="472">
                  <c:v>14957</c:v>
                </c:pt>
                <c:pt idx="473">
                  <c:v>16300</c:v>
                </c:pt>
                <c:pt idx="474">
                  <c:v>12874</c:v>
                </c:pt>
                <c:pt idx="475">
                  <c:v>11257</c:v>
                </c:pt>
                <c:pt idx="476">
                  <c:v>11152</c:v>
                </c:pt>
                <c:pt idx="477">
                  <c:v>11122</c:v>
                </c:pt>
                <c:pt idx="478">
                  <c:v>15359</c:v>
                </c:pt>
                <c:pt idx="479">
                  <c:v>17171</c:v>
                </c:pt>
                <c:pt idx="480">
                  <c:v>16266</c:v>
                </c:pt>
                <c:pt idx="481">
                  <c:v>14248</c:v>
                </c:pt>
                <c:pt idx="482">
                  <c:v>13925</c:v>
                </c:pt>
                <c:pt idx="483">
                  <c:v>10462</c:v>
                </c:pt>
                <c:pt idx="484">
                  <c:v>12371</c:v>
                </c:pt>
                <c:pt idx="485">
                  <c:v>14193</c:v>
                </c:pt>
                <c:pt idx="486">
                  <c:v>15660</c:v>
                </c:pt>
                <c:pt idx="487">
                  <c:v>15485</c:v>
                </c:pt>
                <c:pt idx="488">
                  <c:v>12772</c:v>
                </c:pt>
                <c:pt idx="489">
                  <c:v>14646</c:v>
                </c:pt>
                <c:pt idx="490">
                  <c:v>13564</c:v>
                </c:pt>
                <c:pt idx="491">
                  <c:v>12376</c:v>
                </c:pt>
                <c:pt idx="492">
                  <c:v>11966</c:v>
                </c:pt>
                <c:pt idx="493">
                  <c:v>12857</c:v>
                </c:pt>
                <c:pt idx="494">
                  <c:v>14889</c:v>
                </c:pt>
                <c:pt idx="495">
                  <c:v>14342</c:v>
                </c:pt>
                <c:pt idx="496">
                  <c:v>15720</c:v>
                </c:pt>
                <c:pt idx="497">
                  <c:v>14954</c:v>
                </c:pt>
                <c:pt idx="498">
                  <c:v>16788</c:v>
                </c:pt>
                <c:pt idx="499">
                  <c:v>10638</c:v>
                </c:pt>
                <c:pt idx="500">
                  <c:v>14405</c:v>
                </c:pt>
                <c:pt idx="501">
                  <c:v>12667</c:v>
                </c:pt>
                <c:pt idx="502">
                  <c:v>14714</c:v>
                </c:pt>
                <c:pt idx="503">
                  <c:v>9027</c:v>
                </c:pt>
                <c:pt idx="504">
                  <c:v>12217</c:v>
                </c:pt>
                <c:pt idx="505">
                  <c:v>15065</c:v>
                </c:pt>
                <c:pt idx="506">
                  <c:v>10324</c:v>
                </c:pt>
                <c:pt idx="507">
                  <c:v>12202</c:v>
                </c:pt>
                <c:pt idx="508">
                  <c:v>17490</c:v>
                </c:pt>
                <c:pt idx="509">
                  <c:v>15206</c:v>
                </c:pt>
                <c:pt idx="510">
                  <c:v>17572</c:v>
                </c:pt>
                <c:pt idx="511">
                  <c:v>11343</c:v>
                </c:pt>
                <c:pt idx="512">
                  <c:v>9913</c:v>
                </c:pt>
                <c:pt idx="513">
                  <c:v>14270</c:v>
                </c:pt>
                <c:pt idx="514">
                  <c:v>11729</c:v>
                </c:pt>
                <c:pt idx="515">
                  <c:v>14119</c:v>
                </c:pt>
                <c:pt idx="516">
                  <c:v>10616</c:v>
                </c:pt>
                <c:pt idx="517">
                  <c:v>16031</c:v>
                </c:pt>
                <c:pt idx="518">
                  <c:v>15726</c:v>
                </c:pt>
                <c:pt idx="519">
                  <c:v>11914</c:v>
                </c:pt>
                <c:pt idx="520">
                  <c:v>14726</c:v>
                </c:pt>
                <c:pt idx="521">
                  <c:v>13678</c:v>
                </c:pt>
                <c:pt idx="522">
                  <c:v>11892</c:v>
                </c:pt>
                <c:pt idx="523">
                  <c:v>12028</c:v>
                </c:pt>
                <c:pt idx="524">
                  <c:v>10312</c:v>
                </c:pt>
                <c:pt idx="525">
                  <c:v>9480</c:v>
                </c:pt>
                <c:pt idx="526">
                  <c:v>13340</c:v>
                </c:pt>
                <c:pt idx="527">
                  <c:v>8834</c:v>
                </c:pt>
                <c:pt idx="528">
                  <c:v>10714</c:v>
                </c:pt>
                <c:pt idx="529">
                  <c:v>13204</c:v>
                </c:pt>
                <c:pt idx="530">
                  <c:v>13641</c:v>
                </c:pt>
                <c:pt idx="531">
                  <c:v>12842</c:v>
                </c:pt>
                <c:pt idx="532">
                  <c:v>13973</c:v>
                </c:pt>
                <c:pt idx="533">
                  <c:v>10357</c:v>
                </c:pt>
                <c:pt idx="534">
                  <c:v>15728</c:v>
                </c:pt>
                <c:pt idx="535">
                  <c:v>15947</c:v>
                </c:pt>
                <c:pt idx="536">
                  <c:v>10599</c:v>
                </c:pt>
                <c:pt idx="537">
                  <c:v>9134</c:v>
                </c:pt>
                <c:pt idx="538">
                  <c:v>15830</c:v>
                </c:pt>
                <c:pt idx="539">
                  <c:v>14983</c:v>
                </c:pt>
                <c:pt idx="540">
                  <c:v>10680</c:v>
                </c:pt>
                <c:pt idx="541">
                  <c:v>16097</c:v>
                </c:pt>
                <c:pt idx="542">
                  <c:v>16390</c:v>
                </c:pt>
                <c:pt idx="543">
                  <c:v>14214</c:v>
                </c:pt>
                <c:pt idx="544">
                  <c:v>15560</c:v>
                </c:pt>
                <c:pt idx="545">
                  <c:v>14709</c:v>
                </c:pt>
                <c:pt idx="546">
                  <c:v>8743</c:v>
                </c:pt>
                <c:pt idx="547">
                  <c:v>10883</c:v>
                </c:pt>
                <c:pt idx="548">
                  <c:v>12958</c:v>
                </c:pt>
                <c:pt idx="549">
                  <c:v>14081</c:v>
                </c:pt>
                <c:pt idx="550">
                  <c:v>9250</c:v>
                </c:pt>
                <c:pt idx="551">
                  <c:v>9811</c:v>
                </c:pt>
                <c:pt idx="552">
                  <c:v>10018</c:v>
                </c:pt>
                <c:pt idx="553">
                  <c:v>9062</c:v>
                </c:pt>
                <c:pt idx="554">
                  <c:v>8623</c:v>
                </c:pt>
                <c:pt idx="555">
                  <c:v>11741</c:v>
                </c:pt>
                <c:pt idx="556">
                  <c:v>12842</c:v>
                </c:pt>
                <c:pt idx="557">
                  <c:v>12036</c:v>
                </c:pt>
                <c:pt idx="558">
                  <c:v>10537</c:v>
                </c:pt>
                <c:pt idx="559">
                  <c:v>13201</c:v>
                </c:pt>
                <c:pt idx="560">
                  <c:v>12907</c:v>
                </c:pt>
                <c:pt idx="561">
                  <c:v>9103</c:v>
                </c:pt>
                <c:pt idx="562">
                  <c:v>11285</c:v>
                </c:pt>
                <c:pt idx="563">
                  <c:v>8460</c:v>
                </c:pt>
                <c:pt idx="564">
                  <c:v>11015</c:v>
                </c:pt>
                <c:pt idx="565">
                  <c:v>10061</c:v>
                </c:pt>
                <c:pt idx="566">
                  <c:v>9645</c:v>
                </c:pt>
                <c:pt idx="567">
                  <c:v>10116</c:v>
                </c:pt>
                <c:pt idx="568">
                  <c:v>8454</c:v>
                </c:pt>
                <c:pt idx="569">
                  <c:v>7369</c:v>
                </c:pt>
                <c:pt idx="570">
                  <c:v>10027</c:v>
                </c:pt>
                <c:pt idx="571">
                  <c:v>8351</c:v>
                </c:pt>
                <c:pt idx="572">
                  <c:v>7732</c:v>
                </c:pt>
                <c:pt idx="573">
                  <c:v>8796</c:v>
                </c:pt>
                <c:pt idx="574">
                  <c:v>12664</c:v>
                </c:pt>
                <c:pt idx="575">
                  <c:v>12423</c:v>
                </c:pt>
                <c:pt idx="576">
                  <c:v>13943</c:v>
                </c:pt>
                <c:pt idx="577">
                  <c:v>11965</c:v>
                </c:pt>
                <c:pt idx="578">
                  <c:v>11251</c:v>
                </c:pt>
                <c:pt idx="579">
                  <c:v>13159</c:v>
                </c:pt>
                <c:pt idx="580">
                  <c:v>9076</c:v>
                </c:pt>
                <c:pt idx="581">
                  <c:v>8593</c:v>
                </c:pt>
                <c:pt idx="582">
                  <c:v>7478</c:v>
                </c:pt>
                <c:pt idx="583">
                  <c:v>9487</c:v>
                </c:pt>
                <c:pt idx="584">
                  <c:v>13217</c:v>
                </c:pt>
                <c:pt idx="585">
                  <c:v>11417</c:v>
                </c:pt>
                <c:pt idx="586">
                  <c:v>8143</c:v>
                </c:pt>
                <c:pt idx="587">
                  <c:v>13315</c:v>
                </c:pt>
                <c:pt idx="588">
                  <c:v>9564</c:v>
                </c:pt>
                <c:pt idx="589">
                  <c:v>9293</c:v>
                </c:pt>
                <c:pt idx="590">
                  <c:v>11336</c:v>
                </c:pt>
                <c:pt idx="591">
                  <c:v>8796</c:v>
                </c:pt>
                <c:pt idx="592">
                  <c:v>12807</c:v>
                </c:pt>
                <c:pt idx="593">
                  <c:v>13069</c:v>
                </c:pt>
                <c:pt idx="594">
                  <c:v>13463</c:v>
                </c:pt>
                <c:pt idx="595">
                  <c:v>8993</c:v>
                </c:pt>
                <c:pt idx="596">
                  <c:v>10323</c:v>
                </c:pt>
                <c:pt idx="597">
                  <c:v>9188</c:v>
                </c:pt>
                <c:pt idx="598">
                  <c:v>9563</c:v>
                </c:pt>
                <c:pt idx="599">
                  <c:v>13086</c:v>
                </c:pt>
                <c:pt idx="600">
                  <c:v>7161</c:v>
                </c:pt>
                <c:pt idx="601">
                  <c:v>10233</c:v>
                </c:pt>
                <c:pt idx="602">
                  <c:v>8533</c:v>
                </c:pt>
                <c:pt idx="603">
                  <c:v>7998</c:v>
                </c:pt>
                <c:pt idx="604">
                  <c:v>13161</c:v>
                </c:pt>
                <c:pt idx="605">
                  <c:v>9941</c:v>
                </c:pt>
                <c:pt idx="606">
                  <c:v>8129</c:v>
                </c:pt>
                <c:pt idx="607">
                  <c:v>7919</c:v>
                </c:pt>
                <c:pt idx="608">
                  <c:v>8320</c:v>
                </c:pt>
                <c:pt idx="609">
                  <c:v>8994</c:v>
                </c:pt>
                <c:pt idx="610">
                  <c:v>6854</c:v>
                </c:pt>
                <c:pt idx="611">
                  <c:v>10703</c:v>
                </c:pt>
                <c:pt idx="612">
                  <c:v>7553</c:v>
                </c:pt>
                <c:pt idx="613">
                  <c:v>13066</c:v>
                </c:pt>
                <c:pt idx="614">
                  <c:v>11510</c:v>
                </c:pt>
                <c:pt idx="615">
                  <c:v>8391</c:v>
                </c:pt>
                <c:pt idx="616">
                  <c:v>7954</c:v>
                </c:pt>
                <c:pt idx="617">
                  <c:v>13140</c:v>
                </c:pt>
                <c:pt idx="618">
                  <c:v>7855</c:v>
                </c:pt>
                <c:pt idx="619">
                  <c:v>10398</c:v>
                </c:pt>
                <c:pt idx="620">
                  <c:v>6664</c:v>
                </c:pt>
                <c:pt idx="621">
                  <c:v>10186</c:v>
                </c:pt>
                <c:pt idx="622">
                  <c:v>12160</c:v>
                </c:pt>
                <c:pt idx="623">
                  <c:v>8072</c:v>
                </c:pt>
                <c:pt idx="624">
                  <c:v>7912</c:v>
                </c:pt>
                <c:pt idx="625">
                  <c:v>12352</c:v>
                </c:pt>
                <c:pt idx="626">
                  <c:v>12586</c:v>
                </c:pt>
                <c:pt idx="627">
                  <c:v>7889</c:v>
                </c:pt>
                <c:pt idx="628">
                  <c:v>12149</c:v>
                </c:pt>
                <c:pt idx="629">
                  <c:v>10481</c:v>
                </c:pt>
                <c:pt idx="630">
                  <c:v>10697</c:v>
                </c:pt>
                <c:pt idx="631">
                  <c:v>10504</c:v>
                </c:pt>
                <c:pt idx="632">
                  <c:v>7313</c:v>
                </c:pt>
                <c:pt idx="633">
                  <c:v>7996</c:v>
                </c:pt>
                <c:pt idx="634">
                  <c:v>9473</c:v>
                </c:pt>
                <c:pt idx="635">
                  <c:v>12558</c:v>
                </c:pt>
                <c:pt idx="636">
                  <c:v>8462</c:v>
                </c:pt>
                <c:pt idx="637">
                  <c:v>10494</c:v>
                </c:pt>
                <c:pt idx="638">
                  <c:v>6965</c:v>
                </c:pt>
                <c:pt idx="639">
                  <c:v>10911</c:v>
                </c:pt>
                <c:pt idx="640">
                  <c:v>6189</c:v>
                </c:pt>
                <c:pt idx="641">
                  <c:v>6482</c:v>
                </c:pt>
                <c:pt idx="642">
                  <c:v>10929</c:v>
                </c:pt>
                <c:pt idx="643">
                  <c:v>9276</c:v>
                </c:pt>
                <c:pt idx="644">
                  <c:v>10485</c:v>
                </c:pt>
                <c:pt idx="645">
                  <c:v>11731</c:v>
                </c:pt>
                <c:pt idx="646">
                  <c:v>10577</c:v>
                </c:pt>
                <c:pt idx="647">
                  <c:v>10767</c:v>
                </c:pt>
                <c:pt idx="648">
                  <c:v>8877</c:v>
                </c:pt>
                <c:pt idx="649">
                  <c:v>6960</c:v>
                </c:pt>
                <c:pt idx="650">
                  <c:v>11897</c:v>
                </c:pt>
                <c:pt idx="651">
                  <c:v>9231</c:v>
                </c:pt>
                <c:pt idx="652">
                  <c:v>8081</c:v>
                </c:pt>
                <c:pt idx="653">
                  <c:v>6811</c:v>
                </c:pt>
                <c:pt idx="654">
                  <c:v>7116</c:v>
                </c:pt>
                <c:pt idx="655">
                  <c:v>11126</c:v>
                </c:pt>
                <c:pt idx="656">
                  <c:v>10688</c:v>
                </c:pt>
                <c:pt idx="657">
                  <c:v>9401</c:v>
                </c:pt>
                <c:pt idx="658">
                  <c:v>11350</c:v>
                </c:pt>
                <c:pt idx="659">
                  <c:v>9648</c:v>
                </c:pt>
                <c:pt idx="660">
                  <c:v>7731</c:v>
                </c:pt>
                <c:pt idx="661">
                  <c:v>9754</c:v>
                </c:pt>
                <c:pt idx="662">
                  <c:v>8966</c:v>
                </c:pt>
                <c:pt idx="663">
                  <c:v>9173</c:v>
                </c:pt>
                <c:pt idx="664">
                  <c:v>5524</c:v>
                </c:pt>
                <c:pt idx="665">
                  <c:v>5799</c:v>
                </c:pt>
                <c:pt idx="666">
                  <c:v>8441</c:v>
                </c:pt>
                <c:pt idx="667">
                  <c:v>10037</c:v>
                </c:pt>
                <c:pt idx="668">
                  <c:v>5782</c:v>
                </c:pt>
                <c:pt idx="669">
                  <c:v>10472</c:v>
                </c:pt>
                <c:pt idx="670">
                  <c:v>7735</c:v>
                </c:pt>
                <c:pt idx="671">
                  <c:v>8052</c:v>
                </c:pt>
                <c:pt idx="672">
                  <c:v>7148</c:v>
                </c:pt>
                <c:pt idx="673">
                  <c:v>8844</c:v>
                </c:pt>
                <c:pt idx="674">
                  <c:v>5815</c:v>
                </c:pt>
                <c:pt idx="675">
                  <c:v>5815</c:v>
                </c:pt>
                <c:pt idx="676">
                  <c:v>9406</c:v>
                </c:pt>
                <c:pt idx="677">
                  <c:v>8272</c:v>
                </c:pt>
                <c:pt idx="678">
                  <c:v>9381</c:v>
                </c:pt>
                <c:pt idx="679">
                  <c:v>9052</c:v>
                </c:pt>
                <c:pt idx="680">
                  <c:v>9565</c:v>
                </c:pt>
                <c:pt idx="681">
                  <c:v>6053</c:v>
                </c:pt>
                <c:pt idx="682">
                  <c:v>8646</c:v>
                </c:pt>
                <c:pt idx="683">
                  <c:v>10795</c:v>
                </c:pt>
                <c:pt idx="684">
                  <c:v>9883</c:v>
                </c:pt>
                <c:pt idx="685">
                  <c:v>5905</c:v>
                </c:pt>
                <c:pt idx="686">
                  <c:v>6050</c:v>
                </c:pt>
                <c:pt idx="687">
                  <c:v>10468</c:v>
                </c:pt>
                <c:pt idx="688">
                  <c:v>6263</c:v>
                </c:pt>
                <c:pt idx="689">
                  <c:v>5748</c:v>
                </c:pt>
                <c:pt idx="690">
                  <c:v>9452</c:v>
                </c:pt>
                <c:pt idx="691">
                  <c:v>8371</c:v>
                </c:pt>
                <c:pt idx="692">
                  <c:v>10449</c:v>
                </c:pt>
                <c:pt idx="693">
                  <c:v>5597</c:v>
                </c:pt>
                <c:pt idx="694">
                  <c:v>5742</c:v>
                </c:pt>
                <c:pt idx="695">
                  <c:v>8209</c:v>
                </c:pt>
                <c:pt idx="696">
                  <c:v>8999</c:v>
                </c:pt>
                <c:pt idx="697">
                  <c:v>8990</c:v>
                </c:pt>
                <c:pt idx="698">
                  <c:v>7251</c:v>
                </c:pt>
                <c:pt idx="699">
                  <c:v>9313</c:v>
                </c:pt>
                <c:pt idx="700">
                  <c:v>6356</c:v>
                </c:pt>
                <c:pt idx="701">
                  <c:v>8399</c:v>
                </c:pt>
                <c:pt idx="702">
                  <c:v>5582</c:v>
                </c:pt>
                <c:pt idx="703">
                  <c:v>5910</c:v>
                </c:pt>
                <c:pt idx="704">
                  <c:v>7062</c:v>
                </c:pt>
                <c:pt idx="705">
                  <c:v>7983</c:v>
                </c:pt>
                <c:pt idx="706">
                  <c:v>5844</c:v>
                </c:pt>
                <c:pt idx="707">
                  <c:v>6795</c:v>
                </c:pt>
                <c:pt idx="708">
                  <c:v>7069</c:v>
                </c:pt>
                <c:pt idx="709">
                  <c:v>5553</c:v>
                </c:pt>
                <c:pt idx="710">
                  <c:v>5381</c:v>
                </c:pt>
                <c:pt idx="711">
                  <c:v>5288</c:v>
                </c:pt>
                <c:pt idx="712">
                  <c:v>9847</c:v>
                </c:pt>
                <c:pt idx="713">
                  <c:v>6393</c:v>
                </c:pt>
                <c:pt idx="714">
                  <c:v>5776</c:v>
                </c:pt>
                <c:pt idx="715">
                  <c:v>5004</c:v>
                </c:pt>
                <c:pt idx="716">
                  <c:v>7010</c:v>
                </c:pt>
                <c:pt idx="717">
                  <c:v>5580</c:v>
                </c:pt>
                <c:pt idx="718">
                  <c:v>5609</c:v>
                </c:pt>
                <c:pt idx="719">
                  <c:v>8308</c:v>
                </c:pt>
                <c:pt idx="720">
                  <c:v>7248</c:v>
                </c:pt>
                <c:pt idx="721">
                  <c:v>9585</c:v>
                </c:pt>
                <c:pt idx="722">
                  <c:v>5262</c:v>
                </c:pt>
                <c:pt idx="723">
                  <c:v>6227</c:v>
                </c:pt>
                <c:pt idx="724">
                  <c:v>9517</c:v>
                </c:pt>
                <c:pt idx="725">
                  <c:v>9544</c:v>
                </c:pt>
                <c:pt idx="726">
                  <c:v>5564</c:v>
                </c:pt>
                <c:pt idx="727">
                  <c:v>4751</c:v>
                </c:pt>
                <c:pt idx="728">
                  <c:v>7144</c:v>
                </c:pt>
                <c:pt idx="729">
                  <c:v>8971</c:v>
                </c:pt>
                <c:pt idx="730">
                  <c:v>4939</c:v>
                </c:pt>
                <c:pt idx="731">
                  <c:v>6335</c:v>
                </c:pt>
                <c:pt idx="732">
                  <c:v>6407</c:v>
                </c:pt>
                <c:pt idx="733">
                  <c:v>5380</c:v>
                </c:pt>
                <c:pt idx="734">
                  <c:v>8466</c:v>
                </c:pt>
                <c:pt idx="735">
                  <c:v>7432</c:v>
                </c:pt>
                <c:pt idx="736">
                  <c:v>7707</c:v>
                </c:pt>
                <c:pt idx="737">
                  <c:v>8544</c:v>
                </c:pt>
                <c:pt idx="738">
                  <c:v>8445</c:v>
                </c:pt>
                <c:pt idx="739">
                  <c:v>5364</c:v>
                </c:pt>
                <c:pt idx="740">
                  <c:v>8289</c:v>
                </c:pt>
                <c:pt idx="741">
                  <c:v>6217</c:v>
                </c:pt>
                <c:pt idx="742">
                  <c:v>5076</c:v>
                </c:pt>
                <c:pt idx="743">
                  <c:v>7086</c:v>
                </c:pt>
                <c:pt idx="744">
                  <c:v>4980</c:v>
                </c:pt>
                <c:pt idx="745">
                  <c:v>7328</c:v>
                </c:pt>
                <c:pt idx="746">
                  <c:v>5379</c:v>
                </c:pt>
                <c:pt idx="747">
                  <c:v>7069</c:v>
                </c:pt>
                <c:pt idx="748">
                  <c:v>5402</c:v>
                </c:pt>
                <c:pt idx="749">
                  <c:v>6163</c:v>
                </c:pt>
                <c:pt idx="750">
                  <c:v>7378</c:v>
                </c:pt>
                <c:pt idx="751">
                  <c:v>7972</c:v>
                </c:pt>
                <c:pt idx="752">
                  <c:v>4822</c:v>
                </c:pt>
                <c:pt idx="753">
                  <c:v>7676</c:v>
                </c:pt>
                <c:pt idx="754">
                  <c:v>7985</c:v>
                </c:pt>
                <c:pt idx="755">
                  <c:v>7198</c:v>
                </c:pt>
                <c:pt idx="756">
                  <c:v>6825</c:v>
                </c:pt>
                <c:pt idx="757">
                  <c:v>6084</c:v>
                </c:pt>
                <c:pt idx="758">
                  <c:v>8222</c:v>
                </c:pt>
                <c:pt idx="759">
                  <c:v>5277</c:v>
                </c:pt>
                <c:pt idx="760">
                  <c:v>6053</c:v>
                </c:pt>
                <c:pt idx="761">
                  <c:v>6825</c:v>
                </c:pt>
                <c:pt idx="762">
                  <c:v>5898</c:v>
                </c:pt>
                <c:pt idx="763">
                  <c:v>6369</c:v>
                </c:pt>
                <c:pt idx="764">
                  <c:v>7360</c:v>
                </c:pt>
                <c:pt idx="765">
                  <c:v>4232</c:v>
                </c:pt>
                <c:pt idx="766">
                  <c:v>8096</c:v>
                </c:pt>
                <c:pt idx="767">
                  <c:v>7802</c:v>
                </c:pt>
                <c:pt idx="768">
                  <c:v>5767</c:v>
                </c:pt>
                <c:pt idx="769">
                  <c:v>5170</c:v>
                </c:pt>
                <c:pt idx="770">
                  <c:v>5283</c:v>
                </c:pt>
                <c:pt idx="771">
                  <c:v>7066</c:v>
                </c:pt>
                <c:pt idx="772">
                  <c:v>5410</c:v>
                </c:pt>
                <c:pt idx="773">
                  <c:v>7071</c:v>
                </c:pt>
                <c:pt idx="774">
                  <c:v>5994</c:v>
                </c:pt>
                <c:pt idx="775">
                  <c:v>4737</c:v>
                </c:pt>
                <c:pt idx="776">
                  <c:v>5347</c:v>
                </c:pt>
                <c:pt idx="777">
                  <c:v>6103</c:v>
                </c:pt>
                <c:pt idx="778">
                  <c:v>6370</c:v>
                </c:pt>
                <c:pt idx="779">
                  <c:v>4614</c:v>
                </c:pt>
                <c:pt idx="780">
                  <c:v>6028</c:v>
                </c:pt>
                <c:pt idx="781">
                  <c:v>4575</c:v>
                </c:pt>
                <c:pt idx="782">
                  <c:v>6564</c:v>
                </c:pt>
                <c:pt idx="783">
                  <c:v>4141</c:v>
                </c:pt>
                <c:pt idx="784">
                  <c:v>6839</c:v>
                </c:pt>
                <c:pt idx="785">
                  <c:v>4272</c:v>
                </c:pt>
                <c:pt idx="786">
                  <c:v>5000</c:v>
                </c:pt>
                <c:pt idx="787">
                  <c:v>4738</c:v>
                </c:pt>
                <c:pt idx="788">
                  <c:v>4923</c:v>
                </c:pt>
                <c:pt idx="789">
                  <c:v>6093</c:v>
                </c:pt>
                <c:pt idx="790">
                  <c:v>7289</c:v>
                </c:pt>
                <c:pt idx="791">
                  <c:v>4745</c:v>
                </c:pt>
                <c:pt idx="792">
                  <c:v>6923</c:v>
                </c:pt>
                <c:pt idx="793">
                  <c:v>3907</c:v>
                </c:pt>
                <c:pt idx="794">
                  <c:v>6826</c:v>
                </c:pt>
                <c:pt idx="795">
                  <c:v>5452</c:v>
                </c:pt>
                <c:pt idx="796">
                  <c:v>5309</c:v>
                </c:pt>
                <c:pt idx="797">
                  <c:v>4787</c:v>
                </c:pt>
                <c:pt idx="798">
                  <c:v>4568</c:v>
                </c:pt>
                <c:pt idx="799">
                  <c:v>3926</c:v>
                </c:pt>
                <c:pt idx="800">
                  <c:v>6852</c:v>
                </c:pt>
                <c:pt idx="801">
                  <c:v>6200</c:v>
                </c:pt>
                <c:pt idx="802">
                  <c:v>5822</c:v>
                </c:pt>
                <c:pt idx="803">
                  <c:v>4725</c:v>
                </c:pt>
                <c:pt idx="804">
                  <c:v>4202</c:v>
                </c:pt>
                <c:pt idx="805">
                  <c:v>5438</c:v>
                </c:pt>
                <c:pt idx="806">
                  <c:v>5384</c:v>
                </c:pt>
                <c:pt idx="807">
                  <c:v>4807</c:v>
                </c:pt>
                <c:pt idx="808">
                  <c:v>3759</c:v>
                </c:pt>
                <c:pt idx="809">
                  <c:v>3988</c:v>
                </c:pt>
                <c:pt idx="810">
                  <c:v>3807</c:v>
                </c:pt>
                <c:pt idx="811">
                  <c:v>6150</c:v>
                </c:pt>
                <c:pt idx="812">
                  <c:v>5342</c:v>
                </c:pt>
                <c:pt idx="813">
                  <c:v>5570</c:v>
                </c:pt>
                <c:pt idx="814">
                  <c:v>5584</c:v>
                </c:pt>
                <c:pt idx="815">
                  <c:v>4600</c:v>
                </c:pt>
                <c:pt idx="816">
                  <c:v>3854</c:v>
                </c:pt>
                <c:pt idx="817">
                  <c:v>3580</c:v>
                </c:pt>
                <c:pt idx="818">
                  <c:v>5341</c:v>
                </c:pt>
                <c:pt idx="819">
                  <c:v>4334</c:v>
                </c:pt>
                <c:pt idx="820">
                  <c:v>3461</c:v>
                </c:pt>
                <c:pt idx="821">
                  <c:v>4168</c:v>
                </c:pt>
                <c:pt idx="822">
                  <c:v>3677</c:v>
                </c:pt>
                <c:pt idx="823">
                  <c:v>3599</c:v>
                </c:pt>
                <c:pt idx="824">
                  <c:v>6286</c:v>
                </c:pt>
                <c:pt idx="825">
                  <c:v>3927</c:v>
                </c:pt>
                <c:pt idx="826">
                  <c:v>3861</c:v>
                </c:pt>
                <c:pt idx="827">
                  <c:v>4581</c:v>
                </c:pt>
                <c:pt idx="828">
                  <c:v>3625</c:v>
                </c:pt>
                <c:pt idx="829">
                  <c:v>4706</c:v>
                </c:pt>
                <c:pt idx="830">
                  <c:v>5892</c:v>
                </c:pt>
                <c:pt idx="831">
                  <c:v>5598</c:v>
                </c:pt>
                <c:pt idx="832">
                  <c:v>5776</c:v>
                </c:pt>
                <c:pt idx="833">
                  <c:v>3408</c:v>
                </c:pt>
                <c:pt idx="834">
                  <c:v>5191</c:v>
                </c:pt>
                <c:pt idx="835">
                  <c:v>5412</c:v>
                </c:pt>
                <c:pt idx="836">
                  <c:v>3238</c:v>
                </c:pt>
                <c:pt idx="837">
                  <c:v>5317</c:v>
                </c:pt>
                <c:pt idx="838">
                  <c:v>5268</c:v>
                </c:pt>
                <c:pt idx="839">
                  <c:v>4112</c:v>
                </c:pt>
                <c:pt idx="840">
                  <c:v>3463</c:v>
                </c:pt>
                <c:pt idx="841">
                  <c:v>5207</c:v>
                </c:pt>
                <c:pt idx="842">
                  <c:v>4888</c:v>
                </c:pt>
                <c:pt idx="843">
                  <c:v>4118</c:v>
                </c:pt>
                <c:pt idx="844">
                  <c:v>4310</c:v>
                </c:pt>
                <c:pt idx="845">
                  <c:v>3582</c:v>
                </c:pt>
                <c:pt idx="846">
                  <c:v>5583</c:v>
                </c:pt>
                <c:pt idx="847">
                  <c:v>5362</c:v>
                </c:pt>
                <c:pt idx="848">
                  <c:v>2845</c:v>
                </c:pt>
                <c:pt idx="849">
                  <c:v>4947</c:v>
                </c:pt>
                <c:pt idx="850">
                  <c:v>4469</c:v>
                </c:pt>
                <c:pt idx="851">
                  <c:v>3989</c:v>
                </c:pt>
                <c:pt idx="852">
                  <c:v>4100</c:v>
                </c:pt>
                <c:pt idx="853">
                  <c:v>4820</c:v>
                </c:pt>
                <c:pt idx="854">
                  <c:v>3760</c:v>
                </c:pt>
                <c:pt idx="855">
                  <c:v>3917</c:v>
                </c:pt>
                <c:pt idx="856">
                  <c:v>2851</c:v>
                </c:pt>
                <c:pt idx="857">
                  <c:v>2853</c:v>
                </c:pt>
                <c:pt idx="858">
                  <c:v>4858</c:v>
                </c:pt>
                <c:pt idx="859">
                  <c:v>4645</c:v>
                </c:pt>
                <c:pt idx="860">
                  <c:v>4924</c:v>
                </c:pt>
                <c:pt idx="861">
                  <c:v>5267</c:v>
                </c:pt>
                <c:pt idx="862">
                  <c:v>3621</c:v>
                </c:pt>
                <c:pt idx="863">
                  <c:v>3266</c:v>
                </c:pt>
                <c:pt idx="864">
                  <c:v>4608</c:v>
                </c:pt>
                <c:pt idx="865">
                  <c:v>4704</c:v>
                </c:pt>
                <c:pt idx="866">
                  <c:v>4383</c:v>
                </c:pt>
                <c:pt idx="867">
                  <c:v>2974</c:v>
                </c:pt>
                <c:pt idx="868">
                  <c:v>3402</c:v>
                </c:pt>
                <c:pt idx="869">
                  <c:v>4139</c:v>
                </c:pt>
                <c:pt idx="870">
                  <c:v>3201</c:v>
                </c:pt>
                <c:pt idx="871">
                  <c:v>4068</c:v>
                </c:pt>
                <c:pt idx="872">
                  <c:v>4078</c:v>
                </c:pt>
                <c:pt idx="873">
                  <c:v>3751</c:v>
                </c:pt>
                <c:pt idx="874">
                  <c:v>3765</c:v>
                </c:pt>
                <c:pt idx="875">
                  <c:v>2471</c:v>
                </c:pt>
                <c:pt idx="876">
                  <c:v>2511</c:v>
                </c:pt>
                <c:pt idx="877">
                  <c:v>4460</c:v>
                </c:pt>
                <c:pt idx="878">
                  <c:v>3170</c:v>
                </c:pt>
                <c:pt idx="879">
                  <c:v>2468</c:v>
                </c:pt>
                <c:pt idx="880">
                  <c:v>2653</c:v>
                </c:pt>
                <c:pt idx="881">
                  <c:v>2948</c:v>
                </c:pt>
                <c:pt idx="882">
                  <c:v>3815</c:v>
                </c:pt>
                <c:pt idx="883">
                  <c:v>3253</c:v>
                </c:pt>
                <c:pt idx="884">
                  <c:v>3900</c:v>
                </c:pt>
                <c:pt idx="885">
                  <c:v>2460</c:v>
                </c:pt>
                <c:pt idx="886">
                  <c:v>2589</c:v>
                </c:pt>
                <c:pt idx="887">
                  <c:v>3715</c:v>
                </c:pt>
                <c:pt idx="888">
                  <c:v>2768</c:v>
                </c:pt>
                <c:pt idx="889">
                  <c:v>3433</c:v>
                </c:pt>
                <c:pt idx="890">
                  <c:v>3088</c:v>
                </c:pt>
                <c:pt idx="891">
                  <c:v>3578</c:v>
                </c:pt>
                <c:pt idx="892">
                  <c:v>2469</c:v>
                </c:pt>
                <c:pt idx="893">
                  <c:v>3045</c:v>
                </c:pt>
                <c:pt idx="894">
                  <c:v>3967</c:v>
                </c:pt>
                <c:pt idx="895">
                  <c:v>4144</c:v>
                </c:pt>
                <c:pt idx="896">
                  <c:v>3909</c:v>
                </c:pt>
                <c:pt idx="897">
                  <c:v>3026</c:v>
                </c:pt>
                <c:pt idx="898">
                  <c:v>2555</c:v>
                </c:pt>
                <c:pt idx="899">
                  <c:v>2733</c:v>
                </c:pt>
                <c:pt idx="900">
                  <c:v>3038</c:v>
                </c:pt>
                <c:pt idx="901">
                  <c:v>2937</c:v>
                </c:pt>
                <c:pt idx="902">
                  <c:v>2519</c:v>
                </c:pt>
                <c:pt idx="903">
                  <c:v>3409</c:v>
                </c:pt>
                <c:pt idx="904">
                  <c:v>2273</c:v>
                </c:pt>
                <c:pt idx="905">
                  <c:v>1988</c:v>
                </c:pt>
                <c:pt idx="906">
                  <c:v>1915</c:v>
                </c:pt>
                <c:pt idx="907">
                  <c:v>3404</c:v>
                </c:pt>
                <c:pt idx="908">
                  <c:v>2382</c:v>
                </c:pt>
                <c:pt idx="909">
                  <c:v>3148</c:v>
                </c:pt>
                <c:pt idx="910">
                  <c:v>2834</c:v>
                </c:pt>
                <c:pt idx="911">
                  <c:v>3326</c:v>
                </c:pt>
                <c:pt idx="912">
                  <c:v>2263</c:v>
                </c:pt>
                <c:pt idx="913">
                  <c:v>3357</c:v>
                </c:pt>
                <c:pt idx="914">
                  <c:v>3012</c:v>
                </c:pt>
                <c:pt idx="915">
                  <c:v>2525</c:v>
                </c:pt>
                <c:pt idx="916">
                  <c:v>2492</c:v>
                </c:pt>
                <c:pt idx="917">
                  <c:v>2253</c:v>
                </c:pt>
                <c:pt idx="918">
                  <c:v>2551</c:v>
                </c:pt>
                <c:pt idx="919">
                  <c:v>2750</c:v>
                </c:pt>
                <c:pt idx="920">
                  <c:v>1804</c:v>
                </c:pt>
                <c:pt idx="921">
                  <c:v>2083</c:v>
                </c:pt>
                <c:pt idx="922">
                  <c:v>2717</c:v>
                </c:pt>
                <c:pt idx="923">
                  <c:v>2692</c:v>
                </c:pt>
                <c:pt idx="924">
                  <c:v>2299</c:v>
                </c:pt>
                <c:pt idx="925">
                  <c:v>2000</c:v>
                </c:pt>
                <c:pt idx="926">
                  <c:v>1824</c:v>
                </c:pt>
                <c:pt idx="927">
                  <c:v>3042</c:v>
                </c:pt>
                <c:pt idx="928">
                  <c:v>2290</c:v>
                </c:pt>
                <c:pt idx="929">
                  <c:v>2745</c:v>
                </c:pt>
                <c:pt idx="930">
                  <c:v>2828</c:v>
                </c:pt>
                <c:pt idx="931">
                  <c:v>2108</c:v>
                </c:pt>
                <c:pt idx="932">
                  <c:v>2207</c:v>
                </c:pt>
                <c:pt idx="933">
                  <c:v>2604</c:v>
                </c:pt>
                <c:pt idx="934">
                  <c:v>2546</c:v>
                </c:pt>
                <c:pt idx="935">
                  <c:v>2364</c:v>
                </c:pt>
                <c:pt idx="936">
                  <c:v>1958</c:v>
                </c:pt>
                <c:pt idx="937">
                  <c:v>1734</c:v>
                </c:pt>
                <c:pt idx="938">
                  <c:v>1820</c:v>
                </c:pt>
                <c:pt idx="939">
                  <c:v>2533</c:v>
                </c:pt>
                <c:pt idx="940">
                  <c:v>1444</c:v>
                </c:pt>
                <c:pt idx="941">
                  <c:v>1707</c:v>
                </c:pt>
                <c:pt idx="942">
                  <c:v>2399</c:v>
                </c:pt>
                <c:pt idx="943">
                  <c:v>2385</c:v>
                </c:pt>
                <c:pt idx="944">
                  <c:v>1910</c:v>
                </c:pt>
                <c:pt idx="945">
                  <c:v>2292</c:v>
                </c:pt>
                <c:pt idx="946">
                  <c:v>1187</c:v>
                </c:pt>
                <c:pt idx="947">
                  <c:v>1452</c:v>
                </c:pt>
                <c:pt idx="948">
                  <c:v>1902</c:v>
                </c:pt>
                <c:pt idx="949">
                  <c:v>1121</c:v>
                </c:pt>
                <c:pt idx="950">
                  <c:v>1331</c:v>
                </c:pt>
                <c:pt idx="951">
                  <c:v>1742</c:v>
                </c:pt>
                <c:pt idx="952">
                  <c:v>1617</c:v>
                </c:pt>
                <c:pt idx="953">
                  <c:v>1471</c:v>
                </c:pt>
                <c:pt idx="954">
                  <c:v>1824</c:v>
                </c:pt>
                <c:pt idx="955">
                  <c:v>1641</c:v>
                </c:pt>
                <c:pt idx="956">
                  <c:v>1929</c:v>
                </c:pt>
                <c:pt idx="957">
                  <c:v>1942</c:v>
                </c:pt>
                <c:pt idx="958">
                  <c:v>1440</c:v>
                </c:pt>
                <c:pt idx="959">
                  <c:v>2081</c:v>
                </c:pt>
                <c:pt idx="960">
                  <c:v>1929</c:v>
                </c:pt>
                <c:pt idx="961">
                  <c:v>1052</c:v>
                </c:pt>
                <c:pt idx="962">
                  <c:v>1791</c:v>
                </c:pt>
                <c:pt idx="963">
                  <c:v>1285</c:v>
                </c:pt>
                <c:pt idx="964">
                  <c:v>905</c:v>
                </c:pt>
                <c:pt idx="965">
                  <c:v>1741</c:v>
                </c:pt>
                <c:pt idx="966">
                  <c:v>1236</c:v>
                </c:pt>
                <c:pt idx="967">
                  <c:v>1401</c:v>
                </c:pt>
                <c:pt idx="968">
                  <c:v>1017</c:v>
                </c:pt>
                <c:pt idx="969">
                  <c:v>1481</c:v>
                </c:pt>
                <c:pt idx="970">
                  <c:v>1387</c:v>
                </c:pt>
                <c:pt idx="971">
                  <c:v>1644</c:v>
                </c:pt>
                <c:pt idx="972">
                  <c:v>979</c:v>
                </c:pt>
                <c:pt idx="973">
                  <c:v>1487</c:v>
                </c:pt>
                <c:pt idx="974">
                  <c:v>1012</c:v>
                </c:pt>
                <c:pt idx="975">
                  <c:v>1264</c:v>
                </c:pt>
                <c:pt idx="976">
                  <c:v>1350</c:v>
                </c:pt>
                <c:pt idx="977">
                  <c:v>1000</c:v>
                </c:pt>
                <c:pt idx="978">
                  <c:v>1083</c:v>
                </c:pt>
                <c:pt idx="979">
                  <c:v>922</c:v>
                </c:pt>
                <c:pt idx="980">
                  <c:v>1051</c:v>
                </c:pt>
                <c:pt idx="981">
                  <c:v>1402</c:v>
                </c:pt>
                <c:pt idx="982">
                  <c:v>1065</c:v>
                </c:pt>
                <c:pt idx="983">
                  <c:v>1020</c:v>
                </c:pt>
                <c:pt idx="984">
                  <c:v>875</c:v>
                </c:pt>
                <c:pt idx="985">
                  <c:v>558</c:v>
                </c:pt>
                <c:pt idx="986">
                  <c:v>685</c:v>
                </c:pt>
                <c:pt idx="987">
                  <c:v>788</c:v>
                </c:pt>
                <c:pt idx="988">
                  <c:v>728</c:v>
                </c:pt>
                <c:pt idx="989">
                  <c:v>719</c:v>
                </c:pt>
                <c:pt idx="990">
                  <c:v>775</c:v>
                </c:pt>
                <c:pt idx="991">
                  <c:v>684</c:v>
                </c:pt>
                <c:pt idx="992">
                  <c:v>646</c:v>
                </c:pt>
                <c:pt idx="993">
                  <c:v>439</c:v>
                </c:pt>
                <c:pt idx="994">
                  <c:v>552</c:v>
                </c:pt>
                <c:pt idx="995">
                  <c:v>448</c:v>
                </c:pt>
                <c:pt idx="996">
                  <c:v>549</c:v>
                </c:pt>
                <c:pt idx="997">
                  <c:v>547</c:v>
                </c:pt>
                <c:pt idx="998">
                  <c:v>477</c:v>
                </c:pt>
                <c:pt idx="999">
                  <c:v>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B-417A-A7BB-6667D79A0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316047"/>
        <c:axId val="619950543"/>
      </c:scatterChart>
      <c:valAx>
        <c:axId val="58631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9950543"/>
        <c:crosses val="autoZero"/>
        <c:crossBetween val="midCat"/>
      </c:valAx>
      <c:valAx>
        <c:axId val="6199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Zisk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631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[dataset_prodejny_nabytek.xlsx]grafy!Kontingenční tabulka1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grafy!$C$3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grafy!$B$4:$B$11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grafy!$C$4:$C$11</c:f>
              <c:numCache>
                <c:formatCode>General</c:formatCode>
                <c:ptCount val="7"/>
                <c:pt idx="0">
                  <c:v>11622500</c:v>
                </c:pt>
                <c:pt idx="1">
                  <c:v>13275500</c:v>
                </c:pt>
                <c:pt idx="2">
                  <c:v>10231500</c:v>
                </c:pt>
                <c:pt idx="3">
                  <c:v>12256500</c:v>
                </c:pt>
                <c:pt idx="4">
                  <c:v>9878000</c:v>
                </c:pt>
                <c:pt idx="5">
                  <c:v>10018500</c:v>
                </c:pt>
                <c:pt idx="6">
                  <c:v>11533500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C-449F-8586-D51FCE40BD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[dataset_prodejny_nabytek.xlsx]grafy!Kontingenční tabulka1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Celkový prodej v prodejnách</a:t>
            </a:r>
            <a:endParaRPr lang="en-US"/>
          </a:p>
        </c:rich>
      </c:tx>
      <c:layout>
        <c:manualLayout>
          <c:xMode val="edge"/>
          <c:yMode val="edge"/>
          <c:x val="0.297709287796751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grafy!$C$3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grafy!$B$4:$B$11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grafy!$C$4:$C$11</c:f>
              <c:numCache>
                <c:formatCode>General</c:formatCode>
                <c:ptCount val="7"/>
                <c:pt idx="0">
                  <c:v>11622500</c:v>
                </c:pt>
                <c:pt idx="1">
                  <c:v>13275500</c:v>
                </c:pt>
                <c:pt idx="2">
                  <c:v>10231500</c:v>
                </c:pt>
                <c:pt idx="3">
                  <c:v>12256500</c:v>
                </c:pt>
                <c:pt idx="4">
                  <c:v>9878000</c:v>
                </c:pt>
                <c:pt idx="5">
                  <c:v>10018500</c:v>
                </c:pt>
                <c:pt idx="6">
                  <c:v>11533500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9-4210-9A9D-FAD9ADA4E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615231"/>
        <c:axId val="620100783"/>
      </c:barChart>
      <c:catAx>
        <c:axId val="114961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Prodejny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00783"/>
        <c:crosses val="autoZero"/>
        <c:auto val="1"/>
        <c:lblAlgn val="ctr"/>
        <c:lblOffset val="100"/>
        <c:noMultiLvlLbl val="0"/>
      </c:catAx>
      <c:valAx>
        <c:axId val="62010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</a:t>
                </a:r>
                <a:r>
                  <a:rPr lang="cs-CZ" baseline="0"/>
                  <a:t> prodej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961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[dataset_prodejny_nabytek.xlsx]grafy!Kontingenční tabulka2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grafy!$P$24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grafy!$O$25:$O$50</c:f>
              <c:strCache>
                <c:ptCount val="25"/>
                <c:pt idx="0">
                  <c:v>Komoda Bílá</c:v>
                </c:pt>
                <c:pt idx="1">
                  <c:v>Komoda Dubová</c:v>
                </c:pt>
                <c:pt idx="2">
                  <c:v>Komoda Rustikální</c:v>
                </c:pt>
                <c:pt idx="3">
                  <c:v>Konferenční stolek</c:v>
                </c:pt>
                <c:pt idx="4">
                  <c:v>Konferenční stolek Sklo</c:v>
                </c:pt>
                <c:pt idx="5">
                  <c:v>Křeslo Comfort</c:v>
                </c:pt>
                <c:pt idx="6">
                  <c:v>Křeslo Relax</c:v>
                </c:pt>
                <c:pt idx="7">
                  <c:v>Pohovka Luxusní</c:v>
                </c:pt>
                <c:pt idx="8">
                  <c:v>Pohovka Modern</c:v>
                </c:pt>
                <c:pt idx="9">
                  <c:v>Polička Nástěnná</c:v>
                </c:pt>
                <c:pt idx="10">
                  <c:v>Polička Rohová</c:v>
                </c:pt>
                <c:pt idx="11">
                  <c:v>Postel Čalouněná</c:v>
                </c:pt>
                <c:pt idx="12">
                  <c:v>Postel Dětská</c:v>
                </c:pt>
                <c:pt idx="13">
                  <c:v>Postel Dřevěná</c:v>
                </c:pt>
                <c:pt idx="14">
                  <c:v>Regál Kovový</c:v>
                </c:pt>
                <c:pt idx="15">
                  <c:v>Skříň Posuvná</c:v>
                </c:pt>
                <c:pt idx="16">
                  <c:v>Skříň Šatní</c:v>
                </c:pt>
                <c:pt idx="17">
                  <c:v>Stojan na boty</c:v>
                </c:pt>
                <c:pt idx="18">
                  <c:v>Stůl Jídelní</c:v>
                </c:pt>
                <c:pt idx="19">
                  <c:v>Stůl Kulatý</c:v>
                </c:pt>
                <c:pt idx="20">
                  <c:v>TV stolek</c:v>
                </c:pt>
                <c:pt idx="21">
                  <c:v>TV stolek Modern</c:v>
                </c:pt>
                <c:pt idx="22">
                  <c:v>Židle Elegant</c:v>
                </c:pt>
                <c:pt idx="23">
                  <c:v>Židle Herní</c:v>
                </c:pt>
                <c:pt idx="24">
                  <c:v>Židle Kovová</c:v>
                </c:pt>
              </c:strCache>
            </c:strRef>
          </c:cat>
          <c:val>
            <c:numRef>
              <c:f>grafy!$P$25:$P$50</c:f>
              <c:numCache>
                <c:formatCode>General</c:formatCode>
                <c:ptCount val="25"/>
                <c:pt idx="0">
                  <c:v>5532000</c:v>
                </c:pt>
                <c:pt idx="1">
                  <c:v>2690000</c:v>
                </c:pt>
                <c:pt idx="2">
                  <c:v>1551000</c:v>
                </c:pt>
                <c:pt idx="3">
                  <c:v>1755000</c:v>
                </c:pt>
                <c:pt idx="4">
                  <c:v>2009000</c:v>
                </c:pt>
                <c:pt idx="5">
                  <c:v>2200000</c:v>
                </c:pt>
                <c:pt idx="6">
                  <c:v>3792000</c:v>
                </c:pt>
                <c:pt idx="7">
                  <c:v>8475000</c:v>
                </c:pt>
                <c:pt idx="8">
                  <c:v>5115000</c:v>
                </c:pt>
                <c:pt idx="9">
                  <c:v>591000</c:v>
                </c:pt>
                <c:pt idx="10">
                  <c:v>1218000</c:v>
                </c:pt>
                <c:pt idx="11">
                  <c:v>4180000</c:v>
                </c:pt>
                <c:pt idx="12">
                  <c:v>3267000</c:v>
                </c:pt>
                <c:pt idx="13">
                  <c:v>4080000</c:v>
                </c:pt>
                <c:pt idx="14">
                  <c:v>1932000</c:v>
                </c:pt>
                <c:pt idx="15">
                  <c:v>8624000</c:v>
                </c:pt>
                <c:pt idx="16">
                  <c:v>5580000</c:v>
                </c:pt>
                <c:pt idx="17">
                  <c:v>1196000</c:v>
                </c:pt>
                <c:pt idx="18">
                  <c:v>1904000</c:v>
                </c:pt>
                <c:pt idx="19">
                  <c:v>3140000</c:v>
                </c:pt>
                <c:pt idx="20">
                  <c:v>2331000</c:v>
                </c:pt>
                <c:pt idx="21">
                  <c:v>3892000</c:v>
                </c:pt>
                <c:pt idx="22">
                  <c:v>657500</c:v>
                </c:pt>
                <c:pt idx="23">
                  <c:v>2331000</c:v>
                </c:pt>
                <c:pt idx="24">
                  <c:v>773500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E35-82B7-ECC76A6F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352703"/>
        <c:axId val="620040783"/>
      </c:barChart>
      <c:catAx>
        <c:axId val="586352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Produkty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040783"/>
        <c:crosses val="autoZero"/>
        <c:auto val="1"/>
        <c:lblAlgn val="ctr"/>
        <c:lblOffset val="100"/>
        <c:noMultiLvlLbl val="0"/>
      </c:catAx>
      <c:valAx>
        <c:axId val="62004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8635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dataset_prodejny_nabytek!$L$1</c:f>
              <c:strCache>
                <c:ptCount val="1"/>
                <c:pt idx="0">
                  <c:v>Spokojenost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dataset_prodejny_nabytek!$J$2:$J$1002</c:f>
              <c:numCache>
                <c:formatCode>General</c:formatCode>
                <c:ptCount val="1001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  <c:pt idx="24">
                  <c:v>4</c:v>
                </c:pt>
                <c:pt idx="25">
                  <c:v>9</c:v>
                </c:pt>
                <c:pt idx="26">
                  <c:v>8</c:v>
                </c:pt>
                <c:pt idx="27">
                  <c:v>5</c:v>
                </c:pt>
                <c:pt idx="28">
                  <c:v>8</c:v>
                </c:pt>
                <c:pt idx="29">
                  <c:v>7</c:v>
                </c:pt>
                <c:pt idx="30">
                  <c:v>5</c:v>
                </c:pt>
                <c:pt idx="31">
                  <c:v>7</c:v>
                </c:pt>
                <c:pt idx="32">
                  <c:v>3</c:v>
                </c:pt>
                <c:pt idx="33">
                  <c:v>8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5</c:v>
                </c:pt>
                <c:pt idx="38">
                  <c:v>4</c:v>
                </c:pt>
                <c:pt idx="39">
                  <c:v>7</c:v>
                </c:pt>
                <c:pt idx="40">
                  <c:v>7</c:v>
                </c:pt>
                <c:pt idx="41">
                  <c:v>9</c:v>
                </c:pt>
                <c:pt idx="42">
                  <c:v>5</c:v>
                </c:pt>
                <c:pt idx="43">
                  <c:v>9</c:v>
                </c:pt>
                <c:pt idx="44">
                  <c:v>8</c:v>
                </c:pt>
                <c:pt idx="45">
                  <c:v>6</c:v>
                </c:pt>
                <c:pt idx="46">
                  <c:v>5</c:v>
                </c:pt>
                <c:pt idx="47">
                  <c:v>5</c:v>
                </c:pt>
                <c:pt idx="48">
                  <c:v>8</c:v>
                </c:pt>
                <c:pt idx="49">
                  <c:v>5</c:v>
                </c:pt>
                <c:pt idx="50">
                  <c:v>6</c:v>
                </c:pt>
                <c:pt idx="51">
                  <c:v>8</c:v>
                </c:pt>
                <c:pt idx="52">
                  <c:v>3</c:v>
                </c:pt>
                <c:pt idx="53">
                  <c:v>7</c:v>
                </c:pt>
                <c:pt idx="54">
                  <c:v>8</c:v>
                </c:pt>
                <c:pt idx="55">
                  <c:v>8</c:v>
                </c:pt>
                <c:pt idx="56">
                  <c:v>5</c:v>
                </c:pt>
                <c:pt idx="57">
                  <c:v>4</c:v>
                </c:pt>
                <c:pt idx="58">
                  <c:v>6</c:v>
                </c:pt>
                <c:pt idx="59">
                  <c:v>7</c:v>
                </c:pt>
                <c:pt idx="60">
                  <c:v>5</c:v>
                </c:pt>
                <c:pt idx="61">
                  <c:v>9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6</c:v>
                </c:pt>
                <c:pt idx="66">
                  <c:v>4</c:v>
                </c:pt>
                <c:pt idx="67">
                  <c:v>3</c:v>
                </c:pt>
                <c:pt idx="68">
                  <c:v>8</c:v>
                </c:pt>
                <c:pt idx="69">
                  <c:v>2</c:v>
                </c:pt>
                <c:pt idx="70">
                  <c:v>7</c:v>
                </c:pt>
                <c:pt idx="71">
                  <c:v>9</c:v>
                </c:pt>
                <c:pt idx="72">
                  <c:v>7</c:v>
                </c:pt>
                <c:pt idx="73">
                  <c:v>4</c:v>
                </c:pt>
                <c:pt idx="74">
                  <c:v>8</c:v>
                </c:pt>
                <c:pt idx="75">
                  <c:v>6</c:v>
                </c:pt>
                <c:pt idx="76">
                  <c:v>9</c:v>
                </c:pt>
                <c:pt idx="77">
                  <c:v>8</c:v>
                </c:pt>
                <c:pt idx="78">
                  <c:v>5</c:v>
                </c:pt>
                <c:pt idx="79">
                  <c:v>9</c:v>
                </c:pt>
                <c:pt idx="80">
                  <c:v>6</c:v>
                </c:pt>
                <c:pt idx="81">
                  <c:v>6</c:v>
                </c:pt>
                <c:pt idx="82">
                  <c:v>4</c:v>
                </c:pt>
                <c:pt idx="83">
                  <c:v>8</c:v>
                </c:pt>
                <c:pt idx="84">
                  <c:v>8</c:v>
                </c:pt>
                <c:pt idx="85">
                  <c:v>5</c:v>
                </c:pt>
                <c:pt idx="86">
                  <c:v>6</c:v>
                </c:pt>
                <c:pt idx="87">
                  <c:v>5</c:v>
                </c:pt>
                <c:pt idx="88">
                  <c:v>7</c:v>
                </c:pt>
                <c:pt idx="89">
                  <c:v>5</c:v>
                </c:pt>
                <c:pt idx="90">
                  <c:v>3</c:v>
                </c:pt>
                <c:pt idx="91">
                  <c:v>2</c:v>
                </c:pt>
                <c:pt idx="92">
                  <c:v>7</c:v>
                </c:pt>
                <c:pt idx="93">
                  <c:v>5</c:v>
                </c:pt>
                <c:pt idx="94">
                  <c:v>7</c:v>
                </c:pt>
                <c:pt idx="95">
                  <c:v>4</c:v>
                </c:pt>
                <c:pt idx="96">
                  <c:v>3</c:v>
                </c:pt>
                <c:pt idx="97">
                  <c:v>6</c:v>
                </c:pt>
                <c:pt idx="98">
                  <c:v>5</c:v>
                </c:pt>
                <c:pt idx="99">
                  <c:v>7</c:v>
                </c:pt>
                <c:pt idx="100">
                  <c:v>9</c:v>
                </c:pt>
                <c:pt idx="101">
                  <c:v>4</c:v>
                </c:pt>
                <c:pt idx="102">
                  <c:v>7</c:v>
                </c:pt>
                <c:pt idx="103">
                  <c:v>3</c:v>
                </c:pt>
                <c:pt idx="104">
                  <c:v>7</c:v>
                </c:pt>
                <c:pt idx="105">
                  <c:v>8</c:v>
                </c:pt>
                <c:pt idx="106">
                  <c:v>6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8</c:v>
                </c:pt>
                <c:pt idx="111">
                  <c:v>5</c:v>
                </c:pt>
                <c:pt idx="112">
                  <c:v>9</c:v>
                </c:pt>
                <c:pt idx="113">
                  <c:v>5</c:v>
                </c:pt>
                <c:pt idx="114">
                  <c:v>6</c:v>
                </c:pt>
                <c:pt idx="115">
                  <c:v>6</c:v>
                </c:pt>
                <c:pt idx="116">
                  <c:v>5</c:v>
                </c:pt>
                <c:pt idx="117">
                  <c:v>3</c:v>
                </c:pt>
                <c:pt idx="118">
                  <c:v>8</c:v>
                </c:pt>
                <c:pt idx="119">
                  <c:v>6</c:v>
                </c:pt>
                <c:pt idx="120">
                  <c:v>8</c:v>
                </c:pt>
                <c:pt idx="121">
                  <c:v>8</c:v>
                </c:pt>
                <c:pt idx="122">
                  <c:v>6</c:v>
                </c:pt>
                <c:pt idx="123">
                  <c:v>6</c:v>
                </c:pt>
                <c:pt idx="124">
                  <c:v>3</c:v>
                </c:pt>
                <c:pt idx="125">
                  <c:v>6</c:v>
                </c:pt>
                <c:pt idx="126">
                  <c:v>8</c:v>
                </c:pt>
                <c:pt idx="127">
                  <c:v>2</c:v>
                </c:pt>
                <c:pt idx="128">
                  <c:v>5</c:v>
                </c:pt>
                <c:pt idx="129">
                  <c:v>8</c:v>
                </c:pt>
                <c:pt idx="130">
                  <c:v>2</c:v>
                </c:pt>
                <c:pt idx="131">
                  <c:v>4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6</c:v>
                </c:pt>
                <c:pt idx="139">
                  <c:v>5</c:v>
                </c:pt>
                <c:pt idx="140">
                  <c:v>8</c:v>
                </c:pt>
                <c:pt idx="141">
                  <c:v>7</c:v>
                </c:pt>
                <c:pt idx="142">
                  <c:v>5</c:v>
                </c:pt>
                <c:pt idx="143">
                  <c:v>2</c:v>
                </c:pt>
                <c:pt idx="144">
                  <c:v>3</c:v>
                </c:pt>
                <c:pt idx="145">
                  <c:v>7</c:v>
                </c:pt>
                <c:pt idx="146">
                  <c:v>5</c:v>
                </c:pt>
                <c:pt idx="147">
                  <c:v>3</c:v>
                </c:pt>
                <c:pt idx="148">
                  <c:v>7</c:v>
                </c:pt>
                <c:pt idx="149">
                  <c:v>4</c:v>
                </c:pt>
                <c:pt idx="150">
                  <c:v>8</c:v>
                </c:pt>
                <c:pt idx="151">
                  <c:v>5</c:v>
                </c:pt>
                <c:pt idx="152">
                  <c:v>6</c:v>
                </c:pt>
                <c:pt idx="153">
                  <c:v>7</c:v>
                </c:pt>
                <c:pt idx="154">
                  <c:v>3</c:v>
                </c:pt>
                <c:pt idx="155">
                  <c:v>7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9</c:v>
                </c:pt>
                <c:pt idx="160">
                  <c:v>3</c:v>
                </c:pt>
                <c:pt idx="161">
                  <c:v>9</c:v>
                </c:pt>
                <c:pt idx="162">
                  <c:v>6</c:v>
                </c:pt>
                <c:pt idx="163">
                  <c:v>7</c:v>
                </c:pt>
                <c:pt idx="164">
                  <c:v>6</c:v>
                </c:pt>
                <c:pt idx="165">
                  <c:v>7</c:v>
                </c:pt>
                <c:pt idx="166">
                  <c:v>8</c:v>
                </c:pt>
                <c:pt idx="167">
                  <c:v>5</c:v>
                </c:pt>
                <c:pt idx="168">
                  <c:v>2</c:v>
                </c:pt>
                <c:pt idx="169">
                  <c:v>6</c:v>
                </c:pt>
                <c:pt idx="170">
                  <c:v>8</c:v>
                </c:pt>
                <c:pt idx="171">
                  <c:v>8</c:v>
                </c:pt>
                <c:pt idx="172">
                  <c:v>7</c:v>
                </c:pt>
                <c:pt idx="173">
                  <c:v>6</c:v>
                </c:pt>
                <c:pt idx="174">
                  <c:v>7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3</c:v>
                </c:pt>
                <c:pt idx="179">
                  <c:v>4</c:v>
                </c:pt>
                <c:pt idx="180">
                  <c:v>7</c:v>
                </c:pt>
                <c:pt idx="181">
                  <c:v>4</c:v>
                </c:pt>
                <c:pt idx="182">
                  <c:v>2</c:v>
                </c:pt>
                <c:pt idx="183">
                  <c:v>9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4</c:v>
                </c:pt>
                <c:pt idx="189">
                  <c:v>4</c:v>
                </c:pt>
                <c:pt idx="190">
                  <c:v>9</c:v>
                </c:pt>
                <c:pt idx="191">
                  <c:v>5</c:v>
                </c:pt>
                <c:pt idx="192">
                  <c:v>2</c:v>
                </c:pt>
                <c:pt idx="193">
                  <c:v>6</c:v>
                </c:pt>
                <c:pt idx="194">
                  <c:v>5</c:v>
                </c:pt>
                <c:pt idx="195">
                  <c:v>8</c:v>
                </c:pt>
                <c:pt idx="196">
                  <c:v>7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6</c:v>
                </c:pt>
                <c:pt idx="201">
                  <c:v>8</c:v>
                </c:pt>
                <c:pt idx="202">
                  <c:v>3</c:v>
                </c:pt>
                <c:pt idx="203">
                  <c:v>3</c:v>
                </c:pt>
                <c:pt idx="204">
                  <c:v>8</c:v>
                </c:pt>
                <c:pt idx="205">
                  <c:v>4</c:v>
                </c:pt>
                <c:pt idx="206">
                  <c:v>6</c:v>
                </c:pt>
                <c:pt idx="207">
                  <c:v>4</c:v>
                </c:pt>
                <c:pt idx="208">
                  <c:v>8</c:v>
                </c:pt>
                <c:pt idx="209">
                  <c:v>5</c:v>
                </c:pt>
                <c:pt idx="210">
                  <c:v>4</c:v>
                </c:pt>
                <c:pt idx="211">
                  <c:v>7</c:v>
                </c:pt>
                <c:pt idx="212">
                  <c:v>8</c:v>
                </c:pt>
                <c:pt idx="213">
                  <c:v>9</c:v>
                </c:pt>
                <c:pt idx="214">
                  <c:v>6</c:v>
                </c:pt>
                <c:pt idx="215">
                  <c:v>5</c:v>
                </c:pt>
                <c:pt idx="216">
                  <c:v>7</c:v>
                </c:pt>
                <c:pt idx="217">
                  <c:v>5</c:v>
                </c:pt>
                <c:pt idx="218">
                  <c:v>9</c:v>
                </c:pt>
                <c:pt idx="219">
                  <c:v>5</c:v>
                </c:pt>
                <c:pt idx="220">
                  <c:v>3</c:v>
                </c:pt>
                <c:pt idx="221">
                  <c:v>7</c:v>
                </c:pt>
                <c:pt idx="222">
                  <c:v>7</c:v>
                </c:pt>
                <c:pt idx="223">
                  <c:v>3</c:v>
                </c:pt>
                <c:pt idx="224">
                  <c:v>3</c:v>
                </c:pt>
                <c:pt idx="225">
                  <c:v>9</c:v>
                </c:pt>
                <c:pt idx="226">
                  <c:v>3</c:v>
                </c:pt>
                <c:pt idx="227">
                  <c:v>8</c:v>
                </c:pt>
                <c:pt idx="228">
                  <c:v>9</c:v>
                </c:pt>
                <c:pt idx="229">
                  <c:v>5</c:v>
                </c:pt>
                <c:pt idx="230">
                  <c:v>8</c:v>
                </c:pt>
                <c:pt idx="231">
                  <c:v>3</c:v>
                </c:pt>
                <c:pt idx="232">
                  <c:v>7</c:v>
                </c:pt>
                <c:pt idx="233">
                  <c:v>9</c:v>
                </c:pt>
                <c:pt idx="234">
                  <c:v>8</c:v>
                </c:pt>
                <c:pt idx="235">
                  <c:v>3</c:v>
                </c:pt>
                <c:pt idx="236">
                  <c:v>3</c:v>
                </c:pt>
                <c:pt idx="237">
                  <c:v>7</c:v>
                </c:pt>
                <c:pt idx="238">
                  <c:v>6</c:v>
                </c:pt>
                <c:pt idx="239">
                  <c:v>5</c:v>
                </c:pt>
                <c:pt idx="240">
                  <c:v>8</c:v>
                </c:pt>
                <c:pt idx="241">
                  <c:v>3</c:v>
                </c:pt>
                <c:pt idx="242">
                  <c:v>7</c:v>
                </c:pt>
                <c:pt idx="243">
                  <c:v>4</c:v>
                </c:pt>
                <c:pt idx="244">
                  <c:v>7</c:v>
                </c:pt>
                <c:pt idx="245">
                  <c:v>8</c:v>
                </c:pt>
                <c:pt idx="246">
                  <c:v>7</c:v>
                </c:pt>
                <c:pt idx="247">
                  <c:v>4</c:v>
                </c:pt>
                <c:pt idx="248">
                  <c:v>8</c:v>
                </c:pt>
                <c:pt idx="249">
                  <c:v>3</c:v>
                </c:pt>
                <c:pt idx="250">
                  <c:v>5</c:v>
                </c:pt>
                <c:pt idx="251">
                  <c:v>7</c:v>
                </c:pt>
                <c:pt idx="252">
                  <c:v>8</c:v>
                </c:pt>
                <c:pt idx="253">
                  <c:v>7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7</c:v>
                </c:pt>
                <c:pt idx="259">
                  <c:v>8</c:v>
                </c:pt>
                <c:pt idx="260">
                  <c:v>2</c:v>
                </c:pt>
                <c:pt idx="261">
                  <c:v>4</c:v>
                </c:pt>
                <c:pt idx="262">
                  <c:v>5</c:v>
                </c:pt>
                <c:pt idx="263">
                  <c:v>8</c:v>
                </c:pt>
                <c:pt idx="264">
                  <c:v>7</c:v>
                </c:pt>
                <c:pt idx="265">
                  <c:v>2</c:v>
                </c:pt>
                <c:pt idx="266">
                  <c:v>3</c:v>
                </c:pt>
                <c:pt idx="267">
                  <c:v>7</c:v>
                </c:pt>
                <c:pt idx="268">
                  <c:v>8</c:v>
                </c:pt>
                <c:pt idx="269">
                  <c:v>3</c:v>
                </c:pt>
                <c:pt idx="270">
                  <c:v>5</c:v>
                </c:pt>
                <c:pt idx="271">
                  <c:v>8</c:v>
                </c:pt>
                <c:pt idx="272">
                  <c:v>6</c:v>
                </c:pt>
                <c:pt idx="273">
                  <c:v>5</c:v>
                </c:pt>
                <c:pt idx="274">
                  <c:v>6</c:v>
                </c:pt>
                <c:pt idx="275">
                  <c:v>7</c:v>
                </c:pt>
                <c:pt idx="276">
                  <c:v>2</c:v>
                </c:pt>
                <c:pt idx="277">
                  <c:v>8</c:v>
                </c:pt>
                <c:pt idx="278">
                  <c:v>7</c:v>
                </c:pt>
                <c:pt idx="279">
                  <c:v>8</c:v>
                </c:pt>
                <c:pt idx="280">
                  <c:v>5</c:v>
                </c:pt>
                <c:pt idx="281">
                  <c:v>7</c:v>
                </c:pt>
                <c:pt idx="282">
                  <c:v>7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7</c:v>
                </c:pt>
                <c:pt idx="287">
                  <c:v>7</c:v>
                </c:pt>
                <c:pt idx="288">
                  <c:v>6</c:v>
                </c:pt>
                <c:pt idx="289">
                  <c:v>4</c:v>
                </c:pt>
                <c:pt idx="290">
                  <c:v>3</c:v>
                </c:pt>
                <c:pt idx="291">
                  <c:v>5</c:v>
                </c:pt>
                <c:pt idx="292">
                  <c:v>4</c:v>
                </c:pt>
                <c:pt idx="293">
                  <c:v>6</c:v>
                </c:pt>
                <c:pt idx="294">
                  <c:v>6</c:v>
                </c:pt>
                <c:pt idx="295">
                  <c:v>4</c:v>
                </c:pt>
                <c:pt idx="296">
                  <c:v>5</c:v>
                </c:pt>
                <c:pt idx="297">
                  <c:v>8</c:v>
                </c:pt>
                <c:pt idx="298">
                  <c:v>8</c:v>
                </c:pt>
                <c:pt idx="299">
                  <c:v>5</c:v>
                </c:pt>
                <c:pt idx="300">
                  <c:v>8</c:v>
                </c:pt>
                <c:pt idx="301">
                  <c:v>7</c:v>
                </c:pt>
                <c:pt idx="302">
                  <c:v>2</c:v>
                </c:pt>
                <c:pt idx="303">
                  <c:v>9</c:v>
                </c:pt>
                <c:pt idx="304">
                  <c:v>2</c:v>
                </c:pt>
                <c:pt idx="305">
                  <c:v>9</c:v>
                </c:pt>
                <c:pt idx="306">
                  <c:v>8</c:v>
                </c:pt>
                <c:pt idx="307">
                  <c:v>7</c:v>
                </c:pt>
                <c:pt idx="308">
                  <c:v>7</c:v>
                </c:pt>
                <c:pt idx="309">
                  <c:v>4</c:v>
                </c:pt>
                <c:pt idx="310">
                  <c:v>4</c:v>
                </c:pt>
                <c:pt idx="311">
                  <c:v>2</c:v>
                </c:pt>
                <c:pt idx="312">
                  <c:v>2</c:v>
                </c:pt>
                <c:pt idx="313">
                  <c:v>5</c:v>
                </c:pt>
                <c:pt idx="314">
                  <c:v>8</c:v>
                </c:pt>
                <c:pt idx="315">
                  <c:v>8</c:v>
                </c:pt>
                <c:pt idx="316">
                  <c:v>5</c:v>
                </c:pt>
                <c:pt idx="317">
                  <c:v>9</c:v>
                </c:pt>
                <c:pt idx="318">
                  <c:v>7</c:v>
                </c:pt>
                <c:pt idx="319">
                  <c:v>3</c:v>
                </c:pt>
                <c:pt idx="320">
                  <c:v>6</c:v>
                </c:pt>
                <c:pt idx="321">
                  <c:v>7</c:v>
                </c:pt>
                <c:pt idx="322">
                  <c:v>5</c:v>
                </c:pt>
                <c:pt idx="323">
                  <c:v>5</c:v>
                </c:pt>
                <c:pt idx="324">
                  <c:v>3</c:v>
                </c:pt>
                <c:pt idx="325">
                  <c:v>9</c:v>
                </c:pt>
                <c:pt idx="326">
                  <c:v>3</c:v>
                </c:pt>
                <c:pt idx="327">
                  <c:v>6</c:v>
                </c:pt>
                <c:pt idx="328">
                  <c:v>6</c:v>
                </c:pt>
                <c:pt idx="329">
                  <c:v>8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5</c:v>
                </c:pt>
                <c:pt idx="334">
                  <c:v>6</c:v>
                </c:pt>
                <c:pt idx="335">
                  <c:v>6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6</c:v>
                </c:pt>
                <c:pt idx="340">
                  <c:v>3</c:v>
                </c:pt>
                <c:pt idx="341">
                  <c:v>3</c:v>
                </c:pt>
                <c:pt idx="342">
                  <c:v>7</c:v>
                </c:pt>
                <c:pt idx="343">
                  <c:v>7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8</c:v>
                </c:pt>
                <c:pt idx="351">
                  <c:v>7</c:v>
                </c:pt>
                <c:pt idx="352">
                  <c:v>4</c:v>
                </c:pt>
                <c:pt idx="353">
                  <c:v>4</c:v>
                </c:pt>
                <c:pt idx="354">
                  <c:v>3</c:v>
                </c:pt>
                <c:pt idx="355">
                  <c:v>5</c:v>
                </c:pt>
                <c:pt idx="356">
                  <c:v>2</c:v>
                </c:pt>
                <c:pt idx="357">
                  <c:v>3</c:v>
                </c:pt>
                <c:pt idx="358">
                  <c:v>2</c:v>
                </c:pt>
                <c:pt idx="359">
                  <c:v>7</c:v>
                </c:pt>
                <c:pt idx="360">
                  <c:v>4</c:v>
                </c:pt>
                <c:pt idx="361">
                  <c:v>6</c:v>
                </c:pt>
                <c:pt idx="362">
                  <c:v>2</c:v>
                </c:pt>
                <c:pt idx="363">
                  <c:v>6</c:v>
                </c:pt>
                <c:pt idx="364">
                  <c:v>3</c:v>
                </c:pt>
                <c:pt idx="365">
                  <c:v>4</c:v>
                </c:pt>
                <c:pt idx="366">
                  <c:v>5</c:v>
                </c:pt>
                <c:pt idx="367">
                  <c:v>9</c:v>
                </c:pt>
                <c:pt idx="368">
                  <c:v>7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8</c:v>
                </c:pt>
                <c:pt idx="374">
                  <c:v>6</c:v>
                </c:pt>
                <c:pt idx="375">
                  <c:v>8</c:v>
                </c:pt>
                <c:pt idx="376">
                  <c:v>9</c:v>
                </c:pt>
                <c:pt idx="377">
                  <c:v>5</c:v>
                </c:pt>
                <c:pt idx="378">
                  <c:v>7</c:v>
                </c:pt>
                <c:pt idx="379">
                  <c:v>5</c:v>
                </c:pt>
                <c:pt idx="380">
                  <c:v>4</c:v>
                </c:pt>
                <c:pt idx="381">
                  <c:v>7</c:v>
                </c:pt>
                <c:pt idx="382">
                  <c:v>3</c:v>
                </c:pt>
                <c:pt idx="383">
                  <c:v>4</c:v>
                </c:pt>
                <c:pt idx="384">
                  <c:v>3</c:v>
                </c:pt>
                <c:pt idx="385">
                  <c:v>7</c:v>
                </c:pt>
                <c:pt idx="386">
                  <c:v>2</c:v>
                </c:pt>
                <c:pt idx="387">
                  <c:v>8</c:v>
                </c:pt>
                <c:pt idx="388">
                  <c:v>5</c:v>
                </c:pt>
                <c:pt idx="389">
                  <c:v>4</c:v>
                </c:pt>
                <c:pt idx="390">
                  <c:v>3</c:v>
                </c:pt>
                <c:pt idx="391">
                  <c:v>6</c:v>
                </c:pt>
                <c:pt idx="392">
                  <c:v>5</c:v>
                </c:pt>
                <c:pt idx="393">
                  <c:v>8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8</c:v>
                </c:pt>
                <c:pt idx="398">
                  <c:v>3</c:v>
                </c:pt>
                <c:pt idx="399">
                  <c:v>7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9</c:v>
                </c:pt>
                <c:pt idx="404">
                  <c:v>4</c:v>
                </c:pt>
                <c:pt idx="405">
                  <c:v>6</c:v>
                </c:pt>
                <c:pt idx="406">
                  <c:v>3</c:v>
                </c:pt>
                <c:pt idx="407">
                  <c:v>1</c:v>
                </c:pt>
                <c:pt idx="408">
                  <c:v>8</c:v>
                </c:pt>
                <c:pt idx="409">
                  <c:v>6</c:v>
                </c:pt>
                <c:pt idx="410">
                  <c:v>6</c:v>
                </c:pt>
                <c:pt idx="411">
                  <c:v>3</c:v>
                </c:pt>
                <c:pt idx="412">
                  <c:v>2</c:v>
                </c:pt>
                <c:pt idx="413">
                  <c:v>5</c:v>
                </c:pt>
                <c:pt idx="414">
                  <c:v>9</c:v>
                </c:pt>
                <c:pt idx="415">
                  <c:v>9</c:v>
                </c:pt>
                <c:pt idx="416">
                  <c:v>6</c:v>
                </c:pt>
                <c:pt idx="417">
                  <c:v>3</c:v>
                </c:pt>
                <c:pt idx="418">
                  <c:v>4</c:v>
                </c:pt>
                <c:pt idx="419">
                  <c:v>6</c:v>
                </c:pt>
                <c:pt idx="420">
                  <c:v>7</c:v>
                </c:pt>
                <c:pt idx="421">
                  <c:v>4</c:v>
                </c:pt>
                <c:pt idx="422">
                  <c:v>7</c:v>
                </c:pt>
                <c:pt idx="423">
                  <c:v>2</c:v>
                </c:pt>
                <c:pt idx="424">
                  <c:v>4</c:v>
                </c:pt>
                <c:pt idx="425">
                  <c:v>4</c:v>
                </c:pt>
                <c:pt idx="426">
                  <c:v>8</c:v>
                </c:pt>
                <c:pt idx="427">
                  <c:v>9</c:v>
                </c:pt>
                <c:pt idx="428">
                  <c:v>7</c:v>
                </c:pt>
                <c:pt idx="429">
                  <c:v>2</c:v>
                </c:pt>
                <c:pt idx="430">
                  <c:v>5</c:v>
                </c:pt>
                <c:pt idx="431">
                  <c:v>5</c:v>
                </c:pt>
                <c:pt idx="432">
                  <c:v>8</c:v>
                </c:pt>
                <c:pt idx="433">
                  <c:v>6</c:v>
                </c:pt>
                <c:pt idx="434">
                  <c:v>6</c:v>
                </c:pt>
                <c:pt idx="435">
                  <c:v>7</c:v>
                </c:pt>
                <c:pt idx="436">
                  <c:v>4</c:v>
                </c:pt>
                <c:pt idx="437">
                  <c:v>4</c:v>
                </c:pt>
                <c:pt idx="438">
                  <c:v>5</c:v>
                </c:pt>
                <c:pt idx="439">
                  <c:v>8</c:v>
                </c:pt>
                <c:pt idx="440">
                  <c:v>3</c:v>
                </c:pt>
                <c:pt idx="441">
                  <c:v>9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6</c:v>
                </c:pt>
                <c:pt idx="446">
                  <c:v>7</c:v>
                </c:pt>
                <c:pt idx="447">
                  <c:v>7</c:v>
                </c:pt>
                <c:pt idx="448">
                  <c:v>6</c:v>
                </c:pt>
                <c:pt idx="449">
                  <c:v>3</c:v>
                </c:pt>
                <c:pt idx="450">
                  <c:v>2</c:v>
                </c:pt>
                <c:pt idx="451">
                  <c:v>5</c:v>
                </c:pt>
                <c:pt idx="452">
                  <c:v>3</c:v>
                </c:pt>
                <c:pt idx="453">
                  <c:v>2</c:v>
                </c:pt>
                <c:pt idx="454">
                  <c:v>4</c:v>
                </c:pt>
                <c:pt idx="455">
                  <c:v>7</c:v>
                </c:pt>
                <c:pt idx="456">
                  <c:v>6</c:v>
                </c:pt>
                <c:pt idx="457">
                  <c:v>9</c:v>
                </c:pt>
                <c:pt idx="458">
                  <c:v>3</c:v>
                </c:pt>
                <c:pt idx="459">
                  <c:v>7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8</c:v>
                </c:pt>
                <c:pt idx="464">
                  <c:v>4</c:v>
                </c:pt>
                <c:pt idx="465">
                  <c:v>7</c:v>
                </c:pt>
                <c:pt idx="466">
                  <c:v>7</c:v>
                </c:pt>
                <c:pt idx="467">
                  <c:v>3</c:v>
                </c:pt>
                <c:pt idx="468">
                  <c:v>4</c:v>
                </c:pt>
                <c:pt idx="469">
                  <c:v>5</c:v>
                </c:pt>
                <c:pt idx="470">
                  <c:v>4</c:v>
                </c:pt>
                <c:pt idx="471">
                  <c:v>6</c:v>
                </c:pt>
                <c:pt idx="472">
                  <c:v>4</c:v>
                </c:pt>
                <c:pt idx="473">
                  <c:v>5</c:v>
                </c:pt>
                <c:pt idx="474">
                  <c:v>8</c:v>
                </c:pt>
                <c:pt idx="475">
                  <c:v>4</c:v>
                </c:pt>
                <c:pt idx="476">
                  <c:v>2</c:v>
                </c:pt>
                <c:pt idx="477">
                  <c:v>8</c:v>
                </c:pt>
                <c:pt idx="478">
                  <c:v>4</c:v>
                </c:pt>
                <c:pt idx="479">
                  <c:v>3</c:v>
                </c:pt>
                <c:pt idx="480">
                  <c:v>3</c:v>
                </c:pt>
                <c:pt idx="481">
                  <c:v>5</c:v>
                </c:pt>
                <c:pt idx="482">
                  <c:v>4</c:v>
                </c:pt>
                <c:pt idx="483">
                  <c:v>4</c:v>
                </c:pt>
                <c:pt idx="484">
                  <c:v>6</c:v>
                </c:pt>
                <c:pt idx="485">
                  <c:v>7</c:v>
                </c:pt>
                <c:pt idx="486">
                  <c:v>4</c:v>
                </c:pt>
                <c:pt idx="487">
                  <c:v>4</c:v>
                </c:pt>
                <c:pt idx="488">
                  <c:v>6</c:v>
                </c:pt>
                <c:pt idx="489">
                  <c:v>1</c:v>
                </c:pt>
                <c:pt idx="490">
                  <c:v>8</c:v>
                </c:pt>
                <c:pt idx="491">
                  <c:v>7</c:v>
                </c:pt>
                <c:pt idx="492">
                  <c:v>7</c:v>
                </c:pt>
                <c:pt idx="493">
                  <c:v>4</c:v>
                </c:pt>
                <c:pt idx="494">
                  <c:v>7</c:v>
                </c:pt>
                <c:pt idx="495">
                  <c:v>8</c:v>
                </c:pt>
                <c:pt idx="496">
                  <c:v>4</c:v>
                </c:pt>
                <c:pt idx="497">
                  <c:v>6</c:v>
                </c:pt>
                <c:pt idx="498">
                  <c:v>2</c:v>
                </c:pt>
                <c:pt idx="499">
                  <c:v>7</c:v>
                </c:pt>
                <c:pt idx="500">
                  <c:v>4</c:v>
                </c:pt>
                <c:pt idx="501">
                  <c:v>8</c:v>
                </c:pt>
                <c:pt idx="502">
                  <c:v>4</c:v>
                </c:pt>
                <c:pt idx="503">
                  <c:v>8</c:v>
                </c:pt>
                <c:pt idx="504">
                  <c:v>8</c:v>
                </c:pt>
                <c:pt idx="505">
                  <c:v>7</c:v>
                </c:pt>
                <c:pt idx="506">
                  <c:v>4</c:v>
                </c:pt>
                <c:pt idx="507">
                  <c:v>4</c:v>
                </c:pt>
                <c:pt idx="508">
                  <c:v>1</c:v>
                </c:pt>
                <c:pt idx="509">
                  <c:v>5</c:v>
                </c:pt>
                <c:pt idx="510">
                  <c:v>3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7</c:v>
                </c:pt>
                <c:pt idx="515">
                  <c:v>6</c:v>
                </c:pt>
                <c:pt idx="516">
                  <c:v>5</c:v>
                </c:pt>
                <c:pt idx="517">
                  <c:v>4</c:v>
                </c:pt>
                <c:pt idx="518">
                  <c:v>5</c:v>
                </c:pt>
                <c:pt idx="519">
                  <c:v>5</c:v>
                </c:pt>
                <c:pt idx="520">
                  <c:v>7</c:v>
                </c:pt>
                <c:pt idx="521">
                  <c:v>8</c:v>
                </c:pt>
                <c:pt idx="522">
                  <c:v>2</c:v>
                </c:pt>
                <c:pt idx="523">
                  <c:v>5</c:v>
                </c:pt>
                <c:pt idx="524">
                  <c:v>4</c:v>
                </c:pt>
                <c:pt idx="525">
                  <c:v>6</c:v>
                </c:pt>
                <c:pt idx="526">
                  <c:v>3</c:v>
                </c:pt>
                <c:pt idx="527">
                  <c:v>8</c:v>
                </c:pt>
                <c:pt idx="528">
                  <c:v>8</c:v>
                </c:pt>
                <c:pt idx="529">
                  <c:v>6</c:v>
                </c:pt>
                <c:pt idx="530">
                  <c:v>8</c:v>
                </c:pt>
                <c:pt idx="531">
                  <c:v>8</c:v>
                </c:pt>
                <c:pt idx="532">
                  <c:v>3</c:v>
                </c:pt>
                <c:pt idx="533">
                  <c:v>4</c:v>
                </c:pt>
                <c:pt idx="534">
                  <c:v>7</c:v>
                </c:pt>
                <c:pt idx="535">
                  <c:v>8</c:v>
                </c:pt>
                <c:pt idx="536">
                  <c:v>3</c:v>
                </c:pt>
                <c:pt idx="537">
                  <c:v>8</c:v>
                </c:pt>
                <c:pt idx="538">
                  <c:v>5</c:v>
                </c:pt>
                <c:pt idx="539">
                  <c:v>5</c:v>
                </c:pt>
                <c:pt idx="540">
                  <c:v>9</c:v>
                </c:pt>
                <c:pt idx="541">
                  <c:v>4</c:v>
                </c:pt>
                <c:pt idx="542">
                  <c:v>3</c:v>
                </c:pt>
                <c:pt idx="543">
                  <c:v>6</c:v>
                </c:pt>
                <c:pt idx="544">
                  <c:v>7</c:v>
                </c:pt>
                <c:pt idx="545">
                  <c:v>8</c:v>
                </c:pt>
                <c:pt idx="546">
                  <c:v>6</c:v>
                </c:pt>
                <c:pt idx="547">
                  <c:v>8</c:v>
                </c:pt>
                <c:pt idx="548">
                  <c:v>5</c:v>
                </c:pt>
                <c:pt idx="549">
                  <c:v>7</c:v>
                </c:pt>
                <c:pt idx="550">
                  <c:v>7</c:v>
                </c:pt>
                <c:pt idx="551">
                  <c:v>5</c:v>
                </c:pt>
                <c:pt idx="552">
                  <c:v>3</c:v>
                </c:pt>
                <c:pt idx="553">
                  <c:v>7</c:v>
                </c:pt>
                <c:pt idx="554">
                  <c:v>8</c:v>
                </c:pt>
                <c:pt idx="555">
                  <c:v>3</c:v>
                </c:pt>
                <c:pt idx="556">
                  <c:v>4</c:v>
                </c:pt>
                <c:pt idx="557">
                  <c:v>6</c:v>
                </c:pt>
                <c:pt idx="558">
                  <c:v>4</c:v>
                </c:pt>
                <c:pt idx="559">
                  <c:v>8</c:v>
                </c:pt>
                <c:pt idx="560">
                  <c:v>5</c:v>
                </c:pt>
                <c:pt idx="561">
                  <c:v>5</c:v>
                </c:pt>
                <c:pt idx="562">
                  <c:v>2</c:v>
                </c:pt>
                <c:pt idx="563">
                  <c:v>2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5</c:v>
                </c:pt>
                <c:pt idx="570">
                  <c:v>4</c:v>
                </c:pt>
                <c:pt idx="571">
                  <c:v>4</c:v>
                </c:pt>
                <c:pt idx="572">
                  <c:v>9</c:v>
                </c:pt>
                <c:pt idx="573">
                  <c:v>6</c:v>
                </c:pt>
                <c:pt idx="574">
                  <c:v>7</c:v>
                </c:pt>
                <c:pt idx="575">
                  <c:v>5</c:v>
                </c:pt>
                <c:pt idx="576">
                  <c:v>2</c:v>
                </c:pt>
                <c:pt idx="577">
                  <c:v>2</c:v>
                </c:pt>
                <c:pt idx="578">
                  <c:v>5</c:v>
                </c:pt>
                <c:pt idx="579">
                  <c:v>7</c:v>
                </c:pt>
                <c:pt idx="580">
                  <c:v>5</c:v>
                </c:pt>
                <c:pt idx="581">
                  <c:v>7</c:v>
                </c:pt>
                <c:pt idx="582">
                  <c:v>1</c:v>
                </c:pt>
                <c:pt idx="583">
                  <c:v>1</c:v>
                </c:pt>
                <c:pt idx="584">
                  <c:v>4</c:v>
                </c:pt>
                <c:pt idx="585">
                  <c:v>5</c:v>
                </c:pt>
                <c:pt idx="586">
                  <c:v>4</c:v>
                </c:pt>
                <c:pt idx="587">
                  <c:v>1</c:v>
                </c:pt>
                <c:pt idx="588">
                  <c:v>4</c:v>
                </c:pt>
                <c:pt idx="589">
                  <c:v>5</c:v>
                </c:pt>
                <c:pt idx="590">
                  <c:v>6</c:v>
                </c:pt>
                <c:pt idx="591">
                  <c:v>6</c:v>
                </c:pt>
                <c:pt idx="592">
                  <c:v>2</c:v>
                </c:pt>
                <c:pt idx="593">
                  <c:v>3</c:v>
                </c:pt>
                <c:pt idx="594">
                  <c:v>7</c:v>
                </c:pt>
                <c:pt idx="595">
                  <c:v>3</c:v>
                </c:pt>
                <c:pt idx="596">
                  <c:v>3</c:v>
                </c:pt>
                <c:pt idx="597">
                  <c:v>6</c:v>
                </c:pt>
                <c:pt idx="598">
                  <c:v>5</c:v>
                </c:pt>
                <c:pt idx="599">
                  <c:v>9</c:v>
                </c:pt>
                <c:pt idx="600">
                  <c:v>7</c:v>
                </c:pt>
                <c:pt idx="601">
                  <c:v>5</c:v>
                </c:pt>
                <c:pt idx="602">
                  <c:v>4</c:v>
                </c:pt>
                <c:pt idx="603">
                  <c:v>8</c:v>
                </c:pt>
                <c:pt idx="604">
                  <c:v>3</c:v>
                </c:pt>
                <c:pt idx="605">
                  <c:v>2</c:v>
                </c:pt>
                <c:pt idx="606">
                  <c:v>5</c:v>
                </c:pt>
                <c:pt idx="607">
                  <c:v>6</c:v>
                </c:pt>
                <c:pt idx="608">
                  <c:v>5</c:v>
                </c:pt>
                <c:pt idx="609">
                  <c:v>3</c:v>
                </c:pt>
                <c:pt idx="610">
                  <c:v>2</c:v>
                </c:pt>
                <c:pt idx="611">
                  <c:v>4</c:v>
                </c:pt>
                <c:pt idx="612">
                  <c:v>6</c:v>
                </c:pt>
                <c:pt idx="613">
                  <c:v>4</c:v>
                </c:pt>
                <c:pt idx="614">
                  <c:v>6</c:v>
                </c:pt>
                <c:pt idx="615">
                  <c:v>7</c:v>
                </c:pt>
                <c:pt idx="616">
                  <c:v>5</c:v>
                </c:pt>
                <c:pt idx="617">
                  <c:v>6</c:v>
                </c:pt>
                <c:pt idx="618">
                  <c:v>5</c:v>
                </c:pt>
                <c:pt idx="619">
                  <c:v>6</c:v>
                </c:pt>
                <c:pt idx="620">
                  <c:v>7</c:v>
                </c:pt>
                <c:pt idx="621">
                  <c:v>9</c:v>
                </c:pt>
                <c:pt idx="622">
                  <c:v>4</c:v>
                </c:pt>
                <c:pt idx="623">
                  <c:v>3</c:v>
                </c:pt>
                <c:pt idx="624">
                  <c:v>4</c:v>
                </c:pt>
                <c:pt idx="625">
                  <c:v>4</c:v>
                </c:pt>
                <c:pt idx="626">
                  <c:v>6</c:v>
                </c:pt>
                <c:pt idx="627">
                  <c:v>8</c:v>
                </c:pt>
                <c:pt idx="628">
                  <c:v>4</c:v>
                </c:pt>
                <c:pt idx="629">
                  <c:v>4</c:v>
                </c:pt>
                <c:pt idx="630">
                  <c:v>7</c:v>
                </c:pt>
                <c:pt idx="631">
                  <c:v>6</c:v>
                </c:pt>
                <c:pt idx="632">
                  <c:v>5</c:v>
                </c:pt>
                <c:pt idx="633">
                  <c:v>6</c:v>
                </c:pt>
                <c:pt idx="634">
                  <c:v>5</c:v>
                </c:pt>
                <c:pt idx="635">
                  <c:v>8</c:v>
                </c:pt>
                <c:pt idx="636">
                  <c:v>8</c:v>
                </c:pt>
                <c:pt idx="637">
                  <c:v>6</c:v>
                </c:pt>
                <c:pt idx="638">
                  <c:v>7</c:v>
                </c:pt>
                <c:pt idx="639">
                  <c:v>3</c:v>
                </c:pt>
                <c:pt idx="640">
                  <c:v>5</c:v>
                </c:pt>
                <c:pt idx="641">
                  <c:v>6</c:v>
                </c:pt>
                <c:pt idx="642">
                  <c:v>9</c:v>
                </c:pt>
                <c:pt idx="643">
                  <c:v>4</c:v>
                </c:pt>
                <c:pt idx="644">
                  <c:v>5</c:v>
                </c:pt>
                <c:pt idx="645">
                  <c:v>2</c:v>
                </c:pt>
                <c:pt idx="646">
                  <c:v>5</c:v>
                </c:pt>
                <c:pt idx="647">
                  <c:v>2</c:v>
                </c:pt>
                <c:pt idx="648">
                  <c:v>8</c:v>
                </c:pt>
                <c:pt idx="649">
                  <c:v>2</c:v>
                </c:pt>
                <c:pt idx="650">
                  <c:v>6</c:v>
                </c:pt>
                <c:pt idx="651">
                  <c:v>2</c:v>
                </c:pt>
                <c:pt idx="652">
                  <c:v>3</c:v>
                </c:pt>
                <c:pt idx="653">
                  <c:v>5</c:v>
                </c:pt>
                <c:pt idx="654">
                  <c:v>7</c:v>
                </c:pt>
                <c:pt idx="655">
                  <c:v>9</c:v>
                </c:pt>
                <c:pt idx="656">
                  <c:v>6</c:v>
                </c:pt>
                <c:pt idx="657">
                  <c:v>3</c:v>
                </c:pt>
                <c:pt idx="658">
                  <c:v>8</c:v>
                </c:pt>
                <c:pt idx="659">
                  <c:v>7</c:v>
                </c:pt>
                <c:pt idx="660">
                  <c:v>3</c:v>
                </c:pt>
                <c:pt idx="661">
                  <c:v>7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6</c:v>
                </c:pt>
                <c:pt idx="666">
                  <c:v>3</c:v>
                </c:pt>
                <c:pt idx="667">
                  <c:v>2</c:v>
                </c:pt>
                <c:pt idx="668">
                  <c:v>6</c:v>
                </c:pt>
                <c:pt idx="669">
                  <c:v>7</c:v>
                </c:pt>
                <c:pt idx="670">
                  <c:v>7</c:v>
                </c:pt>
                <c:pt idx="671">
                  <c:v>4</c:v>
                </c:pt>
                <c:pt idx="672">
                  <c:v>6</c:v>
                </c:pt>
                <c:pt idx="673">
                  <c:v>6</c:v>
                </c:pt>
                <c:pt idx="674">
                  <c:v>2</c:v>
                </c:pt>
                <c:pt idx="675">
                  <c:v>3</c:v>
                </c:pt>
                <c:pt idx="676">
                  <c:v>2</c:v>
                </c:pt>
                <c:pt idx="677">
                  <c:v>7</c:v>
                </c:pt>
                <c:pt idx="678">
                  <c:v>4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4</c:v>
                </c:pt>
                <c:pt idx="683">
                  <c:v>8</c:v>
                </c:pt>
                <c:pt idx="684">
                  <c:v>5</c:v>
                </c:pt>
                <c:pt idx="685">
                  <c:v>3</c:v>
                </c:pt>
                <c:pt idx="686">
                  <c:v>5</c:v>
                </c:pt>
                <c:pt idx="687">
                  <c:v>1</c:v>
                </c:pt>
                <c:pt idx="688">
                  <c:v>9</c:v>
                </c:pt>
                <c:pt idx="689">
                  <c:v>4</c:v>
                </c:pt>
                <c:pt idx="690">
                  <c:v>7</c:v>
                </c:pt>
                <c:pt idx="691">
                  <c:v>3</c:v>
                </c:pt>
                <c:pt idx="692">
                  <c:v>4</c:v>
                </c:pt>
                <c:pt idx="693">
                  <c:v>5</c:v>
                </c:pt>
                <c:pt idx="694">
                  <c:v>2</c:v>
                </c:pt>
                <c:pt idx="695">
                  <c:v>3</c:v>
                </c:pt>
                <c:pt idx="696">
                  <c:v>9</c:v>
                </c:pt>
                <c:pt idx="697">
                  <c:v>7</c:v>
                </c:pt>
                <c:pt idx="698">
                  <c:v>5</c:v>
                </c:pt>
                <c:pt idx="699">
                  <c:v>6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9</c:v>
                </c:pt>
                <c:pt idx="704">
                  <c:v>6</c:v>
                </c:pt>
                <c:pt idx="705">
                  <c:v>2</c:v>
                </c:pt>
                <c:pt idx="706">
                  <c:v>6</c:v>
                </c:pt>
                <c:pt idx="707">
                  <c:v>6</c:v>
                </c:pt>
                <c:pt idx="708">
                  <c:v>3</c:v>
                </c:pt>
                <c:pt idx="709">
                  <c:v>7</c:v>
                </c:pt>
                <c:pt idx="710">
                  <c:v>4</c:v>
                </c:pt>
                <c:pt idx="711">
                  <c:v>8</c:v>
                </c:pt>
                <c:pt idx="712">
                  <c:v>2</c:v>
                </c:pt>
                <c:pt idx="713">
                  <c:v>5</c:v>
                </c:pt>
                <c:pt idx="714">
                  <c:v>7</c:v>
                </c:pt>
                <c:pt idx="715">
                  <c:v>1</c:v>
                </c:pt>
                <c:pt idx="716">
                  <c:v>5</c:v>
                </c:pt>
                <c:pt idx="717">
                  <c:v>1</c:v>
                </c:pt>
                <c:pt idx="718">
                  <c:v>6</c:v>
                </c:pt>
                <c:pt idx="719">
                  <c:v>6</c:v>
                </c:pt>
                <c:pt idx="720">
                  <c:v>4</c:v>
                </c:pt>
                <c:pt idx="721">
                  <c:v>5</c:v>
                </c:pt>
                <c:pt idx="722">
                  <c:v>2</c:v>
                </c:pt>
                <c:pt idx="723">
                  <c:v>3</c:v>
                </c:pt>
                <c:pt idx="724">
                  <c:v>6</c:v>
                </c:pt>
                <c:pt idx="725">
                  <c:v>5</c:v>
                </c:pt>
                <c:pt idx="726">
                  <c:v>8</c:v>
                </c:pt>
                <c:pt idx="727">
                  <c:v>6</c:v>
                </c:pt>
                <c:pt idx="728">
                  <c:v>3</c:v>
                </c:pt>
                <c:pt idx="729">
                  <c:v>8</c:v>
                </c:pt>
                <c:pt idx="730">
                  <c:v>6</c:v>
                </c:pt>
                <c:pt idx="731">
                  <c:v>4</c:v>
                </c:pt>
                <c:pt idx="732">
                  <c:v>3</c:v>
                </c:pt>
                <c:pt idx="733">
                  <c:v>7</c:v>
                </c:pt>
                <c:pt idx="734">
                  <c:v>4</c:v>
                </c:pt>
                <c:pt idx="735">
                  <c:v>1</c:v>
                </c:pt>
                <c:pt idx="736">
                  <c:v>6</c:v>
                </c:pt>
                <c:pt idx="737">
                  <c:v>3</c:v>
                </c:pt>
                <c:pt idx="738">
                  <c:v>9</c:v>
                </c:pt>
                <c:pt idx="739">
                  <c:v>5</c:v>
                </c:pt>
                <c:pt idx="740">
                  <c:v>4</c:v>
                </c:pt>
                <c:pt idx="741">
                  <c:v>8</c:v>
                </c:pt>
                <c:pt idx="742">
                  <c:v>4</c:v>
                </c:pt>
                <c:pt idx="743">
                  <c:v>5</c:v>
                </c:pt>
                <c:pt idx="744">
                  <c:v>7</c:v>
                </c:pt>
                <c:pt idx="745">
                  <c:v>6</c:v>
                </c:pt>
                <c:pt idx="746">
                  <c:v>4</c:v>
                </c:pt>
                <c:pt idx="747">
                  <c:v>2</c:v>
                </c:pt>
                <c:pt idx="748">
                  <c:v>2</c:v>
                </c:pt>
                <c:pt idx="749">
                  <c:v>3</c:v>
                </c:pt>
                <c:pt idx="750">
                  <c:v>3</c:v>
                </c:pt>
                <c:pt idx="751">
                  <c:v>2</c:v>
                </c:pt>
                <c:pt idx="752">
                  <c:v>8</c:v>
                </c:pt>
                <c:pt idx="753">
                  <c:v>5</c:v>
                </c:pt>
                <c:pt idx="754">
                  <c:v>7</c:v>
                </c:pt>
                <c:pt idx="755">
                  <c:v>6</c:v>
                </c:pt>
                <c:pt idx="756">
                  <c:v>8</c:v>
                </c:pt>
                <c:pt idx="757">
                  <c:v>5</c:v>
                </c:pt>
                <c:pt idx="758">
                  <c:v>5</c:v>
                </c:pt>
                <c:pt idx="759">
                  <c:v>4</c:v>
                </c:pt>
                <c:pt idx="760">
                  <c:v>6</c:v>
                </c:pt>
                <c:pt idx="761">
                  <c:v>3</c:v>
                </c:pt>
                <c:pt idx="762">
                  <c:v>6</c:v>
                </c:pt>
                <c:pt idx="763">
                  <c:v>4</c:v>
                </c:pt>
                <c:pt idx="764">
                  <c:v>5</c:v>
                </c:pt>
                <c:pt idx="765">
                  <c:v>6</c:v>
                </c:pt>
                <c:pt idx="766">
                  <c:v>7</c:v>
                </c:pt>
                <c:pt idx="767">
                  <c:v>4</c:v>
                </c:pt>
                <c:pt idx="768">
                  <c:v>3</c:v>
                </c:pt>
                <c:pt idx="769">
                  <c:v>5</c:v>
                </c:pt>
                <c:pt idx="770">
                  <c:v>2</c:v>
                </c:pt>
                <c:pt idx="771">
                  <c:v>8</c:v>
                </c:pt>
                <c:pt idx="772">
                  <c:v>8</c:v>
                </c:pt>
                <c:pt idx="773">
                  <c:v>4</c:v>
                </c:pt>
                <c:pt idx="774">
                  <c:v>6</c:v>
                </c:pt>
                <c:pt idx="775">
                  <c:v>5</c:v>
                </c:pt>
                <c:pt idx="776">
                  <c:v>4</c:v>
                </c:pt>
                <c:pt idx="777">
                  <c:v>6</c:v>
                </c:pt>
                <c:pt idx="778">
                  <c:v>7</c:v>
                </c:pt>
                <c:pt idx="779">
                  <c:v>2</c:v>
                </c:pt>
                <c:pt idx="780">
                  <c:v>8</c:v>
                </c:pt>
                <c:pt idx="781">
                  <c:v>4</c:v>
                </c:pt>
                <c:pt idx="782">
                  <c:v>5</c:v>
                </c:pt>
                <c:pt idx="783">
                  <c:v>9</c:v>
                </c:pt>
                <c:pt idx="784">
                  <c:v>7</c:v>
                </c:pt>
                <c:pt idx="785">
                  <c:v>9</c:v>
                </c:pt>
                <c:pt idx="786">
                  <c:v>2</c:v>
                </c:pt>
                <c:pt idx="787">
                  <c:v>2</c:v>
                </c:pt>
                <c:pt idx="788">
                  <c:v>4</c:v>
                </c:pt>
                <c:pt idx="789">
                  <c:v>8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7</c:v>
                </c:pt>
                <c:pt idx="794">
                  <c:v>4</c:v>
                </c:pt>
                <c:pt idx="795">
                  <c:v>2</c:v>
                </c:pt>
                <c:pt idx="796">
                  <c:v>6</c:v>
                </c:pt>
                <c:pt idx="797">
                  <c:v>3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7</c:v>
                </c:pt>
                <c:pt idx="802">
                  <c:v>4</c:v>
                </c:pt>
                <c:pt idx="803">
                  <c:v>2</c:v>
                </c:pt>
                <c:pt idx="804">
                  <c:v>1</c:v>
                </c:pt>
                <c:pt idx="805">
                  <c:v>5</c:v>
                </c:pt>
                <c:pt idx="806">
                  <c:v>5</c:v>
                </c:pt>
                <c:pt idx="807">
                  <c:v>6</c:v>
                </c:pt>
                <c:pt idx="808">
                  <c:v>7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8</c:v>
                </c:pt>
                <c:pt idx="813">
                  <c:v>3</c:v>
                </c:pt>
                <c:pt idx="814">
                  <c:v>8</c:v>
                </c:pt>
                <c:pt idx="815">
                  <c:v>5</c:v>
                </c:pt>
                <c:pt idx="816">
                  <c:v>6</c:v>
                </c:pt>
                <c:pt idx="817">
                  <c:v>3</c:v>
                </c:pt>
                <c:pt idx="818">
                  <c:v>6</c:v>
                </c:pt>
                <c:pt idx="819">
                  <c:v>6</c:v>
                </c:pt>
                <c:pt idx="820">
                  <c:v>5</c:v>
                </c:pt>
                <c:pt idx="821">
                  <c:v>8</c:v>
                </c:pt>
                <c:pt idx="822">
                  <c:v>4</c:v>
                </c:pt>
                <c:pt idx="823">
                  <c:v>6</c:v>
                </c:pt>
                <c:pt idx="824">
                  <c:v>5</c:v>
                </c:pt>
                <c:pt idx="825">
                  <c:v>3</c:v>
                </c:pt>
                <c:pt idx="826">
                  <c:v>3</c:v>
                </c:pt>
                <c:pt idx="827">
                  <c:v>4</c:v>
                </c:pt>
                <c:pt idx="828">
                  <c:v>8</c:v>
                </c:pt>
                <c:pt idx="829">
                  <c:v>5</c:v>
                </c:pt>
                <c:pt idx="830">
                  <c:v>6</c:v>
                </c:pt>
                <c:pt idx="831">
                  <c:v>7</c:v>
                </c:pt>
                <c:pt idx="832">
                  <c:v>2</c:v>
                </c:pt>
                <c:pt idx="833">
                  <c:v>3</c:v>
                </c:pt>
                <c:pt idx="834">
                  <c:v>2</c:v>
                </c:pt>
                <c:pt idx="835">
                  <c:v>7</c:v>
                </c:pt>
                <c:pt idx="836">
                  <c:v>4</c:v>
                </c:pt>
                <c:pt idx="837">
                  <c:v>6</c:v>
                </c:pt>
                <c:pt idx="838">
                  <c:v>6</c:v>
                </c:pt>
                <c:pt idx="839">
                  <c:v>4</c:v>
                </c:pt>
                <c:pt idx="840">
                  <c:v>2</c:v>
                </c:pt>
                <c:pt idx="841">
                  <c:v>3</c:v>
                </c:pt>
                <c:pt idx="842">
                  <c:v>2</c:v>
                </c:pt>
                <c:pt idx="843">
                  <c:v>5</c:v>
                </c:pt>
                <c:pt idx="844">
                  <c:v>6</c:v>
                </c:pt>
                <c:pt idx="845">
                  <c:v>7</c:v>
                </c:pt>
                <c:pt idx="846">
                  <c:v>5</c:v>
                </c:pt>
                <c:pt idx="847">
                  <c:v>1</c:v>
                </c:pt>
                <c:pt idx="848">
                  <c:v>1</c:v>
                </c:pt>
                <c:pt idx="849">
                  <c:v>3</c:v>
                </c:pt>
                <c:pt idx="850">
                  <c:v>4</c:v>
                </c:pt>
                <c:pt idx="851">
                  <c:v>3</c:v>
                </c:pt>
                <c:pt idx="852">
                  <c:v>2</c:v>
                </c:pt>
                <c:pt idx="853">
                  <c:v>3</c:v>
                </c:pt>
                <c:pt idx="854">
                  <c:v>5</c:v>
                </c:pt>
                <c:pt idx="855">
                  <c:v>6</c:v>
                </c:pt>
                <c:pt idx="856">
                  <c:v>8</c:v>
                </c:pt>
                <c:pt idx="857">
                  <c:v>3</c:v>
                </c:pt>
                <c:pt idx="858">
                  <c:v>3</c:v>
                </c:pt>
                <c:pt idx="859">
                  <c:v>6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2</c:v>
                </c:pt>
                <c:pt idx="864">
                  <c:v>2</c:v>
                </c:pt>
                <c:pt idx="865">
                  <c:v>5</c:v>
                </c:pt>
                <c:pt idx="866">
                  <c:v>8</c:v>
                </c:pt>
                <c:pt idx="867">
                  <c:v>8</c:v>
                </c:pt>
                <c:pt idx="868">
                  <c:v>3</c:v>
                </c:pt>
                <c:pt idx="869">
                  <c:v>8</c:v>
                </c:pt>
                <c:pt idx="870">
                  <c:v>3</c:v>
                </c:pt>
                <c:pt idx="871">
                  <c:v>2</c:v>
                </c:pt>
                <c:pt idx="872">
                  <c:v>4</c:v>
                </c:pt>
                <c:pt idx="873">
                  <c:v>5</c:v>
                </c:pt>
                <c:pt idx="874">
                  <c:v>5</c:v>
                </c:pt>
                <c:pt idx="875">
                  <c:v>7</c:v>
                </c:pt>
                <c:pt idx="876">
                  <c:v>2</c:v>
                </c:pt>
                <c:pt idx="877">
                  <c:v>6</c:v>
                </c:pt>
                <c:pt idx="878">
                  <c:v>6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8</c:v>
                </c:pt>
                <c:pt idx="883">
                  <c:v>8</c:v>
                </c:pt>
                <c:pt idx="884">
                  <c:v>3</c:v>
                </c:pt>
                <c:pt idx="885">
                  <c:v>7</c:v>
                </c:pt>
                <c:pt idx="886">
                  <c:v>4</c:v>
                </c:pt>
                <c:pt idx="887">
                  <c:v>2</c:v>
                </c:pt>
                <c:pt idx="888">
                  <c:v>3</c:v>
                </c:pt>
                <c:pt idx="889">
                  <c:v>7</c:v>
                </c:pt>
                <c:pt idx="890">
                  <c:v>1</c:v>
                </c:pt>
                <c:pt idx="891">
                  <c:v>5</c:v>
                </c:pt>
                <c:pt idx="892">
                  <c:v>6</c:v>
                </c:pt>
                <c:pt idx="893">
                  <c:v>2</c:v>
                </c:pt>
                <c:pt idx="894">
                  <c:v>7</c:v>
                </c:pt>
                <c:pt idx="895">
                  <c:v>3</c:v>
                </c:pt>
                <c:pt idx="896">
                  <c:v>5</c:v>
                </c:pt>
                <c:pt idx="897">
                  <c:v>2</c:v>
                </c:pt>
                <c:pt idx="898">
                  <c:v>1</c:v>
                </c:pt>
                <c:pt idx="899">
                  <c:v>2</c:v>
                </c:pt>
                <c:pt idx="900">
                  <c:v>3</c:v>
                </c:pt>
                <c:pt idx="901">
                  <c:v>2</c:v>
                </c:pt>
                <c:pt idx="902">
                  <c:v>1</c:v>
                </c:pt>
                <c:pt idx="903">
                  <c:v>6</c:v>
                </c:pt>
                <c:pt idx="904">
                  <c:v>3</c:v>
                </c:pt>
                <c:pt idx="905">
                  <c:v>8</c:v>
                </c:pt>
                <c:pt idx="906">
                  <c:v>6</c:v>
                </c:pt>
                <c:pt idx="907">
                  <c:v>6</c:v>
                </c:pt>
                <c:pt idx="908">
                  <c:v>4</c:v>
                </c:pt>
                <c:pt idx="909">
                  <c:v>3</c:v>
                </c:pt>
                <c:pt idx="910">
                  <c:v>2</c:v>
                </c:pt>
                <c:pt idx="911">
                  <c:v>7</c:v>
                </c:pt>
                <c:pt idx="912">
                  <c:v>2</c:v>
                </c:pt>
                <c:pt idx="913">
                  <c:v>7</c:v>
                </c:pt>
                <c:pt idx="914">
                  <c:v>7</c:v>
                </c:pt>
                <c:pt idx="915">
                  <c:v>3</c:v>
                </c:pt>
                <c:pt idx="916">
                  <c:v>4</c:v>
                </c:pt>
                <c:pt idx="917">
                  <c:v>6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7</c:v>
                </c:pt>
                <c:pt idx="922">
                  <c:v>1</c:v>
                </c:pt>
                <c:pt idx="923">
                  <c:v>3</c:v>
                </c:pt>
                <c:pt idx="924">
                  <c:v>1</c:v>
                </c:pt>
                <c:pt idx="925">
                  <c:v>4</c:v>
                </c:pt>
                <c:pt idx="926">
                  <c:v>6</c:v>
                </c:pt>
                <c:pt idx="927">
                  <c:v>1</c:v>
                </c:pt>
                <c:pt idx="928">
                  <c:v>6</c:v>
                </c:pt>
                <c:pt idx="929">
                  <c:v>1</c:v>
                </c:pt>
                <c:pt idx="930">
                  <c:v>1</c:v>
                </c:pt>
                <c:pt idx="931">
                  <c:v>6</c:v>
                </c:pt>
                <c:pt idx="932">
                  <c:v>1</c:v>
                </c:pt>
                <c:pt idx="933">
                  <c:v>3</c:v>
                </c:pt>
                <c:pt idx="934">
                  <c:v>7</c:v>
                </c:pt>
                <c:pt idx="935">
                  <c:v>5</c:v>
                </c:pt>
                <c:pt idx="936">
                  <c:v>7</c:v>
                </c:pt>
                <c:pt idx="937">
                  <c:v>7</c:v>
                </c:pt>
                <c:pt idx="938">
                  <c:v>2</c:v>
                </c:pt>
                <c:pt idx="939">
                  <c:v>7</c:v>
                </c:pt>
                <c:pt idx="940">
                  <c:v>6</c:v>
                </c:pt>
                <c:pt idx="941">
                  <c:v>6</c:v>
                </c:pt>
                <c:pt idx="942">
                  <c:v>3</c:v>
                </c:pt>
                <c:pt idx="943">
                  <c:v>6</c:v>
                </c:pt>
                <c:pt idx="944">
                  <c:v>6</c:v>
                </c:pt>
                <c:pt idx="945">
                  <c:v>7</c:v>
                </c:pt>
                <c:pt idx="946">
                  <c:v>6</c:v>
                </c:pt>
                <c:pt idx="947">
                  <c:v>6</c:v>
                </c:pt>
                <c:pt idx="948">
                  <c:v>5</c:v>
                </c:pt>
                <c:pt idx="949">
                  <c:v>7</c:v>
                </c:pt>
                <c:pt idx="950">
                  <c:v>1</c:v>
                </c:pt>
                <c:pt idx="951">
                  <c:v>2</c:v>
                </c:pt>
                <c:pt idx="952">
                  <c:v>5</c:v>
                </c:pt>
                <c:pt idx="953">
                  <c:v>5</c:v>
                </c:pt>
                <c:pt idx="954">
                  <c:v>3</c:v>
                </c:pt>
                <c:pt idx="955">
                  <c:v>2</c:v>
                </c:pt>
                <c:pt idx="956">
                  <c:v>7</c:v>
                </c:pt>
                <c:pt idx="957">
                  <c:v>2</c:v>
                </c:pt>
                <c:pt idx="958">
                  <c:v>6</c:v>
                </c:pt>
                <c:pt idx="959">
                  <c:v>4</c:v>
                </c:pt>
                <c:pt idx="960">
                  <c:v>6</c:v>
                </c:pt>
                <c:pt idx="961">
                  <c:v>1</c:v>
                </c:pt>
                <c:pt idx="962">
                  <c:v>5</c:v>
                </c:pt>
                <c:pt idx="963">
                  <c:v>5</c:v>
                </c:pt>
                <c:pt idx="964">
                  <c:v>2</c:v>
                </c:pt>
                <c:pt idx="965">
                  <c:v>2</c:v>
                </c:pt>
                <c:pt idx="966">
                  <c:v>7</c:v>
                </c:pt>
                <c:pt idx="967">
                  <c:v>6</c:v>
                </c:pt>
                <c:pt idx="968">
                  <c:v>1</c:v>
                </c:pt>
                <c:pt idx="969">
                  <c:v>4</c:v>
                </c:pt>
                <c:pt idx="970">
                  <c:v>1</c:v>
                </c:pt>
                <c:pt idx="971">
                  <c:v>6</c:v>
                </c:pt>
                <c:pt idx="972">
                  <c:v>2</c:v>
                </c:pt>
                <c:pt idx="973">
                  <c:v>6</c:v>
                </c:pt>
                <c:pt idx="974">
                  <c:v>1</c:v>
                </c:pt>
                <c:pt idx="975">
                  <c:v>2</c:v>
                </c:pt>
                <c:pt idx="976">
                  <c:v>7</c:v>
                </c:pt>
                <c:pt idx="977">
                  <c:v>1</c:v>
                </c:pt>
                <c:pt idx="978">
                  <c:v>3</c:v>
                </c:pt>
                <c:pt idx="979">
                  <c:v>5</c:v>
                </c:pt>
                <c:pt idx="980">
                  <c:v>7</c:v>
                </c:pt>
                <c:pt idx="981">
                  <c:v>7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5</c:v>
                </c:pt>
                <c:pt idx="986">
                  <c:v>1</c:v>
                </c:pt>
                <c:pt idx="987">
                  <c:v>1</c:v>
                </c:pt>
                <c:pt idx="988">
                  <c:v>4</c:v>
                </c:pt>
                <c:pt idx="989">
                  <c:v>4</c:v>
                </c:pt>
                <c:pt idx="990">
                  <c:v>7</c:v>
                </c:pt>
                <c:pt idx="991">
                  <c:v>1</c:v>
                </c:pt>
                <c:pt idx="992">
                  <c:v>3</c:v>
                </c:pt>
                <c:pt idx="993">
                  <c:v>7</c:v>
                </c:pt>
                <c:pt idx="994">
                  <c:v>1</c:v>
                </c:pt>
                <c:pt idx="995">
                  <c:v>5</c:v>
                </c:pt>
                <c:pt idx="996">
                  <c:v>4</c:v>
                </c:pt>
                <c:pt idx="997">
                  <c:v>3</c:v>
                </c:pt>
                <c:pt idx="998">
                  <c:v>3</c:v>
                </c:pt>
                <c:pt idx="999">
                  <c:v>2</c:v>
                </c:pt>
              </c:numCache>
            </c:numRef>
          </c:xVal>
          <c:yVal>
            <c:numRef>
              <c:f>dataset_prodejny_nabytek!$L$2:$L$1002</c:f>
              <c:numCache>
                <c:formatCode>General</c:formatCode>
                <c:ptCount val="1001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8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1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7</c:v>
                </c:pt>
                <c:pt idx="33">
                  <c:v>1</c:v>
                </c:pt>
                <c:pt idx="34">
                  <c:v>6</c:v>
                </c:pt>
                <c:pt idx="35">
                  <c:v>7</c:v>
                </c:pt>
                <c:pt idx="36">
                  <c:v>6</c:v>
                </c:pt>
                <c:pt idx="37">
                  <c:v>4</c:v>
                </c:pt>
                <c:pt idx="38">
                  <c:v>5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5</c:v>
                </c:pt>
                <c:pt idx="46">
                  <c:v>3</c:v>
                </c:pt>
                <c:pt idx="47">
                  <c:v>4</c:v>
                </c:pt>
                <c:pt idx="48">
                  <c:v>1</c:v>
                </c:pt>
                <c:pt idx="49">
                  <c:v>5</c:v>
                </c:pt>
                <c:pt idx="50">
                  <c:v>2</c:v>
                </c:pt>
                <c:pt idx="51">
                  <c:v>2</c:v>
                </c:pt>
                <c:pt idx="52">
                  <c:v>7</c:v>
                </c:pt>
                <c:pt idx="53">
                  <c:v>4</c:v>
                </c:pt>
                <c:pt idx="54">
                  <c:v>1</c:v>
                </c:pt>
                <c:pt idx="55">
                  <c:v>2</c:v>
                </c:pt>
                <c:pt idx="56">
                  <c:v>4</c:v>
                </c:pt>
                <c:pt idx="57">
                  <c:v>6</c:v>
                </c:pt>
                <c:pt idx="58">
                  <c:v>2</c:v>
                </c:pt>
                <c:pt idx="59">
                  <c:v>1</c:v>
                </c:pt>
                <c:pt idx="60">
                  <c:v>5</c:v>
                </c:pt>
                <c:pt idx="61">
                  <c:v>1</c:v>
                </c:pt>
                <c:pt idx="62">
                  <c:v>5</c:v>
                </c:pt>
                <c:pt idx="63">
                  <c:v>7</c:v>
                </c:pt>
                <c:pt idx="64">
                  <c:v>7</c:v>
                </c:pt>
                <c:pt idx="65">
                  <c:v>4</c:v>
                </c:pt>
                <c:pt idx="66">
                  <c:v>7</c:v>
                </c:pt>
                <c:pt idx="67">
                  <c:v>6</c:v>
                </c:pt>
                <c:pt idx="68">
                  <c:v>1</c:v>
                </c:pt>
                <c:pt idx="69">
                  <c:v>7</c:v>
                </c:pt>
                <c:pt idx="70">
                  <c:v>3</c:v>
                </c:pt>
                <c:pt idx="71">
                  <c:v>1</c:v>
                </c:pt>
                <c:pt idx="72">
                  <c:v>4</c:v>
                </c:pt>
                <c:pt idx="73">
                  <c:v>6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4</c:v>
                </c:pt>
                <c:pt idx="79">
                  <c:v>1</c:v>
                </c:pt>
                <c:pt idx="80">
                  <c:v>2</c:v>
                </c:pt>
                <c:pt idx="81">
                  <c:v>4</c:v>
                </c:pt>
                <c:pt idx="82">
                  <c:v>4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6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4</c:v>
                </c:pt>
                <c:pt idx="100">
                  <c:v>1</c:v>
                </c:pt>
                <c:pt idx="101">
                  <c:v>5</c:v>
                </c:pt>
                <c:pt idx="102">
                  <c:v>2</c:v>
                </c:pt>
                <c:pt idx="103">
                  <c:v>7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5</c:v>
                </c:pt>
                <c:pt idx="108">
                  <c:v>5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1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3</c:v>
                </c:pt>
                <c:pt idx="117">
                  <c:v>5</c:v>
                </c:pt>
                <c:pt idx="118">
                  <c:v>2</c:v>
                </c:pt>
                <c:pt idx="119">
                  <c:v>4</c:v>
                </c:pt>
                <c:pt idx="120">
                  <c:v>1</c:v>
                </c:pt>
                <c:pt idx="121">
                  <c:v>3</c:v>
                </c:pt>
                <c:pt idx="122">
                  <c:v>3</c:v>
                </c:pt>
                <c:pt idx="123">
                  <c:v>4</c:v>
                </c:pt>
                <c:pt idx="124">
                  <c:v>7</c:v>
                </c:pt>
                <c:pt idx="125">
                  <c:v>5</c:v>
                </c:pt>
                <c:pt idx="126">
                  <c:v>1</c:v>
                </c:pt>
                <c:pt idx="127">
                  <c:v>9</c:v>
                </c:pt>
                <c:pt idx="128">
                  <c:v>3</c:v>
                </c:pt>
                <c:pt idx="129">
                  <c:v>1</c:v>
                </c:pt>
                <c:pt idx="130">
                  <c:v>6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4</c:v>
                </c:pt>
                <c:pt idx="135">
                  <c:v>6</c:v>
                </c:pt>
                <c:pt idx="136">
                  <c:v>6</c:v>
                </c:pt>
                <c:pt idx="137">
                  <c:v>4</c:v>
                </c:pt>
                <c:pt idx="138">
                  <c:v>4</c:v>
                </c:pt>
                <c:pt idx="139">
                  <c:v>3</c:v>
                </c:pt>
                <c:pt idx="140">
                  <c:v>1</c:v>
                </c:pt>
                <c:pt idx="141">
                  <c:v>1</c:v>
                </c:pt>
                <c:pt idx="142">
                  <c:v>4</c:v>
                </c:pt>
                <c:pt idx="143">
                  <c:v>7</c:v>
                </c:pt>
                <c:pt idx="144">
                  <c:v>7</c:v>
                </c:pt>
                <c:pt idx="145">
                  <c:v>1</c:v>
                </c:pt>
                <c:pt idx="146">
                  <c:v>5</c:v>
                </c:pt>
                <c:pt idx="147">
                  <c:v>6</c:v>
                </c:pt>
                <c:pt idx="148">
                  <c:v>3</c:v>
                </c:pt>
                <c:pt idx="149">
                  <c:v>6</c:v>
                </c:pt>
                <c:pt idx="150">
                  <c:v>1</c:v>
                </c:pt>
                <c:pt idx="151">
                  <c:v>3</c:v>
                </c:pt>
                <c:pt idx="152">
                  <c:v>2</c:v>
                </c:pt>
                <c:pt idx="153">
                  <c:v>2</c:v>
                </c:pt>
                <c:pt idx="154">
                  <c:v>5</c:v>
                </c:pt>
                <c:pt idx="155">
                  <c:v>2</c:v>
                </c:pt>
                <c:pt idx="156">
                  <c:v>6</c:v>
                </c:pt>
                <c:pt idx="157">
                  <c:v>7</c:v>
                </c:pt>
                <c:pt idx="158">
                  <c:v>5</c:v>
                </c:pt>
                <c:pt idx="159">
                  <c:v>1</c:v>
                </c:pt>
                <c:pt idx="160">
                  <c:v>6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3</c:v>
                </c:pt>
                <c:pt idx="165">
                  <c:v>3</c:v>
                </c:pt>
                <c:pt idx="166">
                  <c:v>1</c:v>
                </c:pt>
                <c:pt idx="167">
                  <c:v>6</c:v>
                </c:pt>
                <c:pt idx="168">
                  <c:v>8</c:v>
                </c:pt>
                <c:pt idx="169">
                  <c:v>5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2</c:v>
                </c:pt>
                <c:pt idx="174">
                  <c:v>3</c:v>
                </c:pt>
                <c:pt idx="175">
                  <c:v>5</c:v>
                </c:pt>
                <c:pt idx="176">
                  <c:v>6</c:v>
                </c:pt>
                <c:pt idx="177">
                  <c:v>4</c:v>
                </c:pt>
                <c:pt idx="178">
                  <c:v>5</c:v>
                </c:pt>
                <c:pt idx="179">
                  <c:v>4</c:v>
                </c:pt>
                <c:pt idx="180">
                  <c:v>1</c:v>
                </c:pt>
                <c:pt idx="181">
                  <c:v>5</c:v>
                </c:pt>
                <c:pt idx="182">
                  <c:v>9</c:v>
                </c:pt>
                <c:pt idx="183">
                  <c:v>2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2</c:v>
                </c:pt>
                <c:pt idx="191">
                  <c:v>4</c:v>
                </c:pt>
                <c:pt idx="192">
                  <c:v>9</c:v>
                </c:pt>
                <c:pt idx="193">
                  <c:v>3</c:v>
                </c:pt>
                <c:pt idx="194">
                  <c:v>4</c:v>
                </c:pt>
                <c:pt idx="195">
                  <c:v>2</c:v>
                </c:pt>
                <c:pt idx="196">
                  <c:v>1</c:v>
                </c:pt>
                <c:pt idx="197">
                  <c:v>6</c:v>
                </c:pt>
                <c:pt idx="198">
                  <c:v>8</c:v>
                </c:pt>
                <c:pt idx="199">
                  <c:v>5</c:v>
                </c:pt>
                <c:pt idx="200">
                  <c:v>4</c:v>
                </c:pt>
                <c:pt idx="201">
                  <c:v>3</c:v>
                </c:pt>
                <c:pt idx="202">
                  <c:v>7</c:v>
                </c:pt>
                <c:pt idx="203">
                  <c:v>6</c:v>
                </c:pt>
                <c:pt idx="204">
                  <c:v>1</c:v>
                </c:pt>
                <c:pt idx="205">
                  <c:v>5</c:v>
                </c:pt>
                <c:pt idx="206">
                  <c:v>4</c:v>
                </c:pt>
                <c:pt idx="207">
                  <c:v>4</c:v>
                </c:pt>
                <c:pt idx="208">
                  <c:v>1</c:v>
                </c:pt>
                <c:pt idx="209">
                  <c:v>5</c:v>
                </c:pt>
                <c:pt idx="210">
                  <c:v>4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5</c:v>
                </c:pt>
                <c:pt idx="216">
                  <c:v>3</c:v>
                </c:pt>
                <c:pt idx="217">
                  <c:v>6</c:v>
                </c:pt>
                <c:pt idx="218">
                  <c:v>1</c:v>
                </c:pt>
                <c:pt idx="219">
                  <c:v>4</c:v>
                </c:pt>
                <c:pt idx="220">
                  <c:v>5</c:v>
                </c:pt>
                <c:pt idx="221">
                  <c:v>4</c:v>
                </c:pt>
                <c:pt idx="222">
                  <c:v>4</c:v>
                </c:pt>
                <c:pt idx="223">
                  <c:v>7</c:v>
                </c:pt>
                <c:pt idx="224">
                  <c:v>5</c:v>
                </c:pt>
                <c:pt idx="225">
                  <c:v>1</c:v>
                </c:pt>
                <c:pt idx="226">
                  <c:v>5</c:v>
                </c:pt>
                <c:pt idx="227">
                  <c:v>1</c:v>
                </c:pt>
                <c:pt idx="228">
                  <c:v>1</c:v>
                </c:pt>
                <c:pt idx="229">
                  <c:v>4</c:v>
                </c:pt>
                <c:pt idx="230">
                  <c:v>3</c:v>
                </c:pt>
                <c:pt idx="231">
                  <c:v>7</c:v>
                </c:pt>
                <c:pt idx="232">
                  <c:v>4</c:v>
                </c:pt>
                <c:pt idx="233">
                  <c:v>1</c:v>
                </c:pt>
                <c:pt idx="234">
                  <c:v>1</c:v>
                </c:pt>
                <c:pt idx="235">
                  <c:v>5</c:v>
                </c:pt>
                <c:pt idx="236">
                  <c:v>8</c:v>
                </c:pt>
                <c:pt idx="237">
                  <c:v>2</c:v>
                </c:pt>
                <c:pt idx="238">
                  <c:v>2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4</c:v>
                </c:pt>
                <c:pt idx="243">
                  <c:v>5</c:v>
                </c:pt>
                <c:pt idx="244">
                  <c:v>1</c:v>
                </c:pt>
                <c:pt idx="245">
                  <c:v>2</c:v>
                </c:pt>
                <c:pt idx="246">
                  <c:v>2</c:v>
                </c:pt>
                <c:pt idx="247">
                  <c:v>7</c:v>
                </c:pt>
                <c:pt idx="248">
                  <c:v>2</c:v>
                </c:pt>
                <c:pt idx="249">
                  <c:v>6</c:v>
                </c:pt>
                <c:pt idx="250">
                  <c:v>6</c:v>
                </c:pt>
                <c:pt idx="251">
                  <c:v>3</c:v>
                </c:pt>
                <c:pt idx="252">
                  <c:v>1</c:v>
                </c:pt>
                <c:pt idx="253">
                  <c:v>4</c:v>
                </c:pt>
                <c:pt idx="254">
                  <c:v>5</c:v>
                </c:pt>
                <c:pt idx="255">
                  <c:v>4</c:v>
                </c:pt>
                <c:pt idx="256">
                  <c:v>5</c:v>
                </c:pt>
                <c:pt idx="257">
                  <c:v>3</c:v>
                </c:pt>
                <c:pt idx="258">
                  <c:v>4</c:v>
                </c:pt>
                <c:pt idx="259">
                  <c:v>3</c:v>
                </c:pt>
                <c:pt idx="260">
                  <c:v>6</c:v>
                </c:pt>
                <c:pt idx="261">
                  <c:v>4</c:v>
                </c:pt>
                <c:pt idx="262">
                  <c:v>3</c:v>
                </c:pt>
                <c:pt idx="263">
                  <c:v>2</c:v>
                </c:pt>
                <c:pt idx="264">
                  <c:v>4</c:v>
                </c:pt>
                <c:pt idx="265">
                  <c:v>8</c:v>
                </c:pt>
                <c:pt idx="266">
                  <c:v>7</c:v>
                </c:pt>
                <c:pt idx="267">
                  <c:v>4</c:v>
                </c:pt>
                <c:pt idx="268">
                  <c:v>1</c:v>
                </c:pt>
                <c:pt idx="269">
                  <c:v>7</c:v>
                </c:pt>
                <c:pt idx="270">
                  <c:v>3</c:v>
                </c:pt>
                <c:pt idx="271">
                  <c:v>1</c:v>
                </c:pt>
                <c:pt idx="272">
                  <c:v>5</c:v>
                </c:pt>
                <c:pt idx="273">
                  <c:v>4</c:v>
                </c:pt>
                <c:pt idx="274">
                  <c:v>4</c:v>
                </c:pt>
                <c:pt idx="275">
                  <c:v>1</c:v>
                </c:pt>
                <c:pt idx="276">
                  <c:v>8</c:v>
                </c:pt>
                <c:pt idx="277">
                  <c:v>1</c:v>
                </c:pt>
                <c:pt idx="278">
                  <c:v>2</c:v>
                </c:pt>
                <c:pt idx="279">
                  <c:v>1</c:v>
                </c:pt>
                <c:pt idx="280">
                  <c:v>6</c:v>
                </c:pt>
                <c:pt idx="281">
                  <c:v>1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5</c:v>
                </c:pt>
                <c:pt idx="286">
                  <c:v>3</c:v>
                </c:pt>
                <c:pt idx="287">
                  <c:v>2</c:v>
                </c:pt>
                <c:pt idx="288">
                  <c:v>4</c:v>
                </c:pt>
                <c:pt idx="289">
                  <c:v>6</c:v>
                </c:pt>
                <c:pt idx="290">
                  <c:v>5</c:v>
                </c:pt>
                <c:pt idx="291">
                  <c:v>6</c:v>
                </c:pt>
                <c:pt idx="292">
                  <c:v>4</c:v>
                </c:pt>
                <c:pt idx="293">
                  <c:v>2</c:v>
                </c:pt>
                <c:pt idx="294">
                  <c:v>4</c:v>
                </c:pt>
                <c:pt idx="295">
                  <c:v>4</c:v>
                </c:pt>
                <c:pt idx="296">
                  <c:v>3</c:v>
                </c:pt>
                <c:pt idx="297">
                  <c:v>3</c:v>
                </c:pt>
                <c:pt idx="298">
                  <c:v>1</c:v>
                </c:pt>
                <c:pt idx="299">
                  <c:v>6</c:v>
                </c:pt>
                <c:pt idx="300">
                  <c:v>1</c:v>
                </c:pt>
                <c:pt idx="301">
                  <c:v>4</c:v>
                </c:pt>
                <c:pt idx="302">
                  <c:v>7</c:v>
                </c:pt>
                <c:pt idx="303">
                  <c:v>1</c:v>
                </c:pt>
                <c:pt idx="304">
                  <c:v>9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2</c:v>
                </c:pt>
                <c:pt idx="309">
                  <c:v>7</c:v>
                </c:pt>
                <c:pt idx="310">
                  <c:v>5</c:v>
                </c:pt>
                <c:pt idx="311">
                  <c:v>8</c:v>
                </c:pt>
                <c:pt idx="312">
                  <c:v>7</c:v>
                </c:pt>
                <c:pt idx="313">
                  <c:v>6</c:v>
                </c:pt>
                <c:pt idx="314">
                  <c:v>2</c:v>
                </c:pt>
                <c:pt idx="315">
                  <c:v>1</c:v>
                </c:pt>
                <c:pt idx="316">
                  <c:v>4</c:v>
                </c:pt>
                <c:pt idx="317">
                  <c:v>1</c:v>
                </c:pt>
                <c:pt idx="318">
                  <c:v>2</c:v>
                </c:pt>
                <c:pt idx="319">
                  <c:v>5</c:v>
                </c:pt>
                <c:pt idx="320">
                  <c:v>3</c:v>
                </c:pt>
                <c:pt idx="321">
                  <c:v>1</c:v>
                </c:pt>
                <c:pt idx="322">
                  <c:v>5</c:v>
                </c:pt>
                <c:pt idx="323">
                  <c:v>6</c:v>
                </c:pt>
                <c:pt idx="324">
                  <c:v>8</c:v>
                </c:pt>
                <c:pt idx="325">
                  <c:v>1</c:v>
                </c:pt>
                <c:pt idx="326">
                  <c:v>8</c:v>
                </c:pt>
                <c:pt idx="327">
                  <c:v>3</c:v>
                </c:pt>
                <c:pt idx="328">
                  <c:v>4</c:v>
                </c:pt>
                <c:pt idx="329">
                  <c:v>1</c:v>
                </c:pt>
                <c:pt idx="330">
                  <c:v>8</c:v>
                </c:pt>
                <c:pt idx="331">
                  <c:v>8</c:v>
                </c:pt>
                <c:pt idx="332">
                  <c:v>7</c:v>
                </c:pt>
                <c:pt idx="333">
                  <c:v>3</c:v>
                </c:pt>
                <c:pt idx="334">
                  <c:v>5</c:v>
                </c:pt>
                <c:pt idx="335">
                  <c:v>4</c:v>
                </c:pt>
                <c:pt idx="336">
                  <c:v>7</c:v>
                </c:pt>
                <c:pt idx="337">
                  <c:v>5</c:v>
                </c:pt>
                <c:pt idx="338">
                  <c:v>7</c:v>
                </c:pt>
                <c:pt idx="339">
                  <c:v>2</c:v>
                </c:pt>
                <c:pt idx="340">
                  <c:v>6</c:v>
                </c:pt>
                <c:pt idx="341">
                  <c:v>8</c:v>
                </c:pt>
                <c:pt idx="342">
                  <c:v>2</c:v>
                </c:pt>
                <c:pt idx="343">
                  <c:v>4</c:v>
                </c:pt>
                <c:pt idx="344">
                  <c:v>1</c:v>
                </c:pt>
                <c:pt idx="345">
                  <c:v>1</c:v>
                </c:pt>
                <c:pt idx="346">
                  <c:v>2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1</c:v>
                </c:pt>
                <c:pt idx="351">
                  <c:v>4</c:v>
                </c:pt>
                <c:pt idx="352">
                  <c:v>6</c:v>
                </c:pt>
                <c:pt idx="353">
                  <c:v>6</c:v>
                </c:pt>
                <c:pt idx="354">
                  <c:v>5</c:v>
                </c:pt>
                <c:pt idx="355">
                  <c:v>4</c:v>
                </c:pt>
                <c:pt idx="356">
                  <c:v>7</c:v>
                </c:pt>
                <c:pt idx="357">
                  <c:v>6</c:v>
                </c:pt>
                <c:pt idx="358">
                  <c:v>9</c:v>
                </c:pt>
                <c:pt idx="359">
                  <c:v>4</c:v>
                </c:pt>
                <c:pt idx="360">
                  <c:v>5</c:v>
                </c:pt>
                <c:pt idx="361">
                  <c:v>5</c:v>
                </c:pt>
                <c:pt idx="362">
                  <c:v>8</c:v>
                </c:pt>
                <c:pt idx="363">
                  <c:v>3</c:v>
                </c:pt>
                <c:pt idx="364">
                  <c:v>5</c:v>
                </c:pt>
                <c:pt idx="365">
                  <c:v>6</c:v>
                </c:pt>
                <c:pt idx="366">
                  <c:v>5</c:v>
                </c:pt>
                <c:pt idx="367">
                  <c:v>1</c:v>
                </c:pt>
                <c:pt idx="368">
                  <c:v>4</c:v>
                </c:pt>
                <c:pt idx="369">
                  <c:v>5</c:v>
                </c:pt>
                <c:pt idx="370">
                  <c:v>7</c:v>
                </c:pt>
                <c:pt idx="371">
                  <c:v>5</c:v>
                </c:pt>
                <c:pt idx="372">
                  <c:v>7</c:v>
                </c:pt>
                <c:pt idx="373">
                  <c:v>2</c:v>
                </c:pt>
                <c:pt idx="374">
                  <c:v>3</c:v>
                </c:pt>
                <c:pt idx="375">
                  <c:v>3</c:v>
                </c:pt>
                <c:pt idx="376">
                  <c:v>1</c:v>
                </c:pt>
                <c:pt idx="377">
                  <c:v>4</c:v>
                </c:pt>
                <c:pt idx="378">
                  <c:v>3</c:v>
                </c:pt>
                <c:pt idx="379">
                  <c:v>5</c:v>
                </c:pt>
                <c:pt idx="380">
                  <c:v>6</c:v>
                </c:pt>
                <c:pt idx="381">
                  <c:v>2</c:v>
                </c:pt>
                <c:pt idx="382">
                  <c:v>6</c:v>
                </c:pt>
                <c:pt idx="383">
                  <c:v>5</c:v>
                </c:pt>
                <c:pt idx="384">
                  <c:v>6</c:v>
                </c:pt>
                <c:pt idx="385">
                  <c:v>3</c:v>
                </c:pt>
                <c:pt idx="386">
                  <c:v>9</c:v>
                </c:pt>
                <c:pt idx="387">
                  <c:v>3</c:v>
                </c:pt>
                <c:pt idx="388">
                  <c:v>6</c:v>
                </c:pt>
                <c:pt idx="389">
                  <c:v>6</c:v>
                </c:pt>
                <c:pt idx="390">
                  <c:v>7</c:v>
                </c:pt>
                <c:pt idx="391">
                  <c:v>2</c:v>
                </c:pt>
                <c:pt idx="392">
                  <c:v>3</c:v>
                </c:pt>
                <c:pt idx="393">
                  <c:v>1</c:v>
                </c:pt>
                <c:pt idx="394">
                  <c:v>4</c:v>
                </c:pt>
                <c:pt idx="395">
                  <c:v>3</c:v>
                </c:pt>
                <c:pt idx="396">
                  <c:v>2</c:v>
                </c:pt>
                <c:pt idx="397">
                  <c:v>3</c:v>
                </c:pt>
                <c:pt idx="398">
                  <c:v>8</c:v>
                </c:pt>
                <c:pt idx="399">
                  <c:v>4</c:v>
                </c:pt>
                <c:pt idx="400">
                  <c:v>1</c:v>
                </c:pt>
                <c:pt idx="401">
                  <c:v>3</c:v>
                </c:pt>
                <c:pt idx="402">
                  <c:v>6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6</c:v>
                </c:pt>
                <c:pt idx="407">
                  <c:v>9</c:v>
                </c:pt>
                <c:pt idx="408">
                  <c:v>1</c:v>
                </c:pt>
                <c:pt idx="409">
                  <c:v>5</c:v>
                </c:pt>
                <c:pt idx="410">
                  <c:v>3</c:v>
                </c:pt>
                <c:pt idx="411">
                  <c:v>5</c:v>
                </c:pt>
                <c:pt idx="412">
                  <c:v>6</c:v>
                </c:pt>
                <c:pt idx="413">
                  <c:v>5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6</c:v>
                </c:pt>
                <c:pt idx="418">
                  <c:v>4</c:v>
                </c:pt>
                <c:pt idx="419">
                  <c:v>2</c:v>
                </c:pt>
                <c:pt idx="420">
                  <c:v>2</c:v>
                </c:pt>
                <c:pt idx="421">
                  <c:v>4</c:v>
                </c:pt>
                <c:pt idx="422">
                  <c:v>2</c:v>
                </c:pt>
                <c:pt idx="423">
                  <c:v>6</c:v>
                </c:pt>
                <c:pt idx="424">
                  <c:v>7</c:v>
                </c:pt>
                <c:pt idx="425">
                  <c:v>5</c:v>
                </c:pt>
                <c:pt idx="426">
                  <c:v>2</c:v>
                </c:pt>
                <c:pt idx="427">
                  <c:v>2</c:v>
                </c:pt>
                <c:pt idx="428">
                  <c:v>3</c:v>
                </c:pt>
                <c:pt idx="429">
                  <c:v>6</c:v>
                </c:pt>
                <c:pt idx="430">
                  <c:v>5</c:v>
                </c:pt>
                <c:pt idx="431">
                  <c:v>6</c:v>
                </c:pt>
                <c:pt idx="432">
                  <c:v>1</c:v>
                </c:pt>
                <c:pt idx="433">
                  <c:v>5</c:v>
                </c:pt>
                <c:pt idx="434">
                  <c:v>3</c:v>
                </c:pt>
                <c:pt idx="435">
                  <c:v>3</c:v>
                </c:pt>
                <c:pt idx="436">
                  <c:v>5</c:v>
                </c:pt>
                <c:pt idx="437">
                  <c:v>4</c:v>
                </c:pt>
                <c:pt idx="438">
                  <c:v>3</c:v>
                </c:pt>
                <c:pt idx="439">
                  <c:v>3</c:v>
                </c:pt>
                <c:pt idx="440">
                  <c:v>7</c:v>
                </c:pt>
                <c:pt idx="441">
                  <c:v>2</c:v>
                </c:pt>
                <c:pt idx="442">
                  <c:v>3</c:v>
                </c:pt>
                <c:pt idx="443">
                  <c:v>2</c:v>
                </c:pt>
                <c:pt idx="444">
                  <c:v>3</c:v>
                </c:pt>
                <c:pt idx="445">
                  <c:v>5</c:v>
                </c:pt>
                <c:pt idx="446">
                  <c:v>2</c:v>
                </c:pt>
                <c:pt idx="447">
                  <c:v>1</c:v>
                </c:pt>
                <c:pt idx="448">
                  <c:v>4</c:v>
                </c:pt>
                <c:pt idx="449">
                  <c:v>6</c:v>
                </c:pt>
                <c:pt idx="450">
                  <c:v>8</c:v>
                </c:pt>
                <c:pt idx="451">
                  <c:v>4</c:v>
                </c:pt>
                <c:pt idx="452">
                  <c:v>6</c:v>
                </c:pt>
                <c:pt idx="453">
                  <c:v>6</c:v>
                </c:pt>
                <c:pt idx="454">
                  <c:v>7</c:v>
                </c:pt>
                <c:pt idx="455">
                  <c:v>1</c:v>
                </c:pt>
                <c:pt idx="456">
                  <c:v>2</c:v>
                </c:pt>
                <c:pt idx="457">
                  <c:v>1</c:v>
                </c:pt>
                <c:pt idx="458">
                  <c:v>7</c:v>
                </c:pt>
                <c:pt idx="459">
                  <c:v>4</c:v>
                </c:pt>
                <c:pt idx="460">
                  <c:v>7</c:v>
                </c:pt>
                <c:pt idx="461">
                  <c:v>6</c:v>
                </c:pt>
                <c:pt idx="462">
                  <c:v>5</c:v>
                </c:pt>
                <c:pt idx="463">
                  <c:v>2</c:v>
                </c:pt>
                <c:pt idx="464">
                  <c:v>6</c:v>
                </c:pt>
                <c:pt idx="465">
                  <c:v>1</c:v>
                </c:pt>
                <c:pt idx="466">
                  <c:v>1</c:v>
                </c:pt>
                <c:pt idx="467">
                  <c:v>8</c:v>
                </c:pt>
                <c:pt idx="468">
                  <c:v>5</c:v>
                </c:pt>
                <c:pt idx="469">
                  <c:v>3</c:v>
                </c:pt>
                <c:pt idx="470">
                  <c:v>4</c:v>
                </c:pt>
                <c:pt idx="471">
                  <c:v>4</c:v>
                </c:pt>
                <c:pt idx="472">
                  <c:v>5</c:v>
                </c:pt>
                <c:pt idx="473">
                  <c:v>4</c:v>
                </c:pt>
                <c:pt idx="474">
                  <c:v>3</c:v>
                </c:pt>
                <c:pt idx="475">
                  <c:v>5</c:v>
                </c:pt>
                <c:pt idx="476">
                  <c:v>6</c:v>
                </c:pt>
                <c:pt idx="477">
                  <c:v>3</c:v>
                </c:pt>
                <c:pt idx="478">
                  <c:v>5</c:v>
                </c:pt>
                <c:pt idx="479">
                  <c:v>7</c:v>
                </c:pt>
                <c:pt idx="480">
                  <c:v>7</c:v>
                </c:pt>
                <c:pt idx="481">
                  <c:v>6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6</c:v>
                </c:pt>
                <c:pt idx="487">
                  <c:v>4</c:v>
                </c:pt>
                <c:pt idx="488">
                  <c:v>5</c:v>
                </c:pt>
                <c:pt idx="489">
                  <c:v>8</c:v>
                </c:pt>
                <c:pt idx="490">
                  <c:v>1</c:v>
                </c:pt>
                <c:pt idx="491">
                  <c:v>4</c:v>
                </c:pt>
                <c:pt idx="492">
                  <c:v>3</c:v>
                </c:pt>
                <c:pt idx="493">
                  <c:v>5</c:v>
                </c:pt>
                <c:pt idx="494">
                  <c:v>4</c:v>
                </c:pt>
                <c:pt idx="495">
                  <c:v>1</c:v>
                </c:pt>
                <c:pt idx="496">
                  <c:v>4</c:v>
                </c:pt>
                <c:pt idx="497">
                  <c:v>5</c:v>
                </c:pt>
                <c:pt idx="498">
                  <c:v>9</c:v>
                </c:pt>
                <c:pt idx="499">
                  <c:v>1</c:v>
                </c:pt>
                <c:pt idx="500">
                  <c:v>5</c:v>
                </c:pt>
                <c:pt idx="501">
                  <c:v>1</c:v>
                </c:pt>
                <c:pt idx="502">
                  <c:v>6</c:v>
                </c:pt>
                <c:pt idx="503">
                  <c:v>2</c:v>
                </c:pt>
                <c:pt idx="504">
                  <c:v>1</c:v>
                </c:pt>
                <c:pt idx="505">
                  <c:v>1</c:v>
                </c:pt>
                <c:pt idx="506">
                  <c:v>7</c:v>
                </c:pt>
                <c:pt idx="507">
                  <c:v>7</c:v>
                </c:pt>
                <c:pt idx="508">
                  <c:v>8</c:v>
                </c:pt>
                <c:pt idx="509">
                  <c:v>5</c:v>
                </c:pt>
                <c:pt idx="510">
                  <c:v>6</c:v>
                </c:pt>
                <c:pt idx="511">
                  <c:v>4</c:v>
                </c:pt>
                <c:pt idx="512">
                  <c:v>6</c:v>
                </c:pt>
                <c:pt idx="513">
                  <c:v>8</c:v>
                </c:pt>
                <c:pt idx="514">
                  <c:v>1</c:v>
                </c:pt>
                <c:pt idx="515">
                  <c:v>2</c:v>
                </c:pt>
                <c:pt idx="516">
                  <c:v>4</c:v>
                </c:pt>
                <c:pt idx="517">
                  <c:v>5</c:v>
                </c:pt>
                <c:pt idx="518">
                  <c:v>4</c:v>
                </c:pt>
                <c:pt idx="519">
                  <c:v>5</c:v>
                </c:pt>
                <c:pt idx="520">
                  <c:v>2</c:v>
                </c:pt>
                <c:pt idx="521">
                  <c:v>3</c:v>
                </c:pt>
                <c:pt idx="522">
                  <c:v>8</c:v>
                </c:pt>
                <c:pt idx="523">
                  <c:v>5</c:v>
                </c:pt>
                <c:pt idx="524">
                  <c:v>5</c:v>
                </c:pt>
                <c:pt idx="525">
                  <c:v>2</c:v>
                </c:pt>
                <c:pt idx="526">
                  <c:v>6</c:v>
                </c:pt>
                <c:pt idx="527">
                  <c:v>1</c:v>
                </c:pt>
                <c:pt idx="528">
                  <c:v>2</c:v>
                </c:pt>
                <c:pt idx="529">
                  <c:v>2</c:v>
                </c:pt>
                <c:pt idx="530">
                  <c:v>3</c:v>
                </c:pt>
                <c:pt idx="531">
                  <c:v>2</c:v>
                </c:pt>
                <c:pt idx="532">
                  <c:v>8</c:v>
                </c:pt>
                <c:pt idx="533">
                  <c:v>7</c:v>
                </c:pt>
                <c:pt idx="534">
                  <c:v>4</c:v>
                </c:pt>
                <c:pt idx="535">
                  <c:v>1</c:v>
                </c:pt>
                <c:pt idx="536">
                  <c:v>6</c:v>
                </c:pt>
                <c:pt idx="537">
                  <c:v>1</c:v>
                </c:pt>
                <c:pt idx="538">
                  <c:v>4</c:v>
                </c:pt>
                <c:pt idx="539">
                  <c:v>5</c:v>
                </c:pt>
                <c:pt idx="540">
                  <c:v>1</c:v>
                </c:pt>
                <c:pt idx="541">
                  <c:v>5</c:v>
                </c:pt>
                <c:pt idx="542">
                  <c:v>7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2</c:v>
                </c:pt>
                <c:pt idx="548">
                  <c:v>5</c:v>
                </c:pt>
                <c:pt idx="549">
                  <c:v>1</c:v>
                </c:pt>
                <c:pt idx="550">
                  <c:v>4</c:v>
                </c:pt>
                <c:pt idx="551">
                  <c:v>4</c:v>
                </c:pt>
                <c:pt idx="552">
                  <c:v>8</c:v>
                </c:pt>
                <c:pt idx="553">
                  <c:v>3</c:v>
                </c:pt>
                <c:pt idx="554">
                  <c:v>1</c:v>
                </c:pt>
                <c:pt idx="555">
                  <c:v>6</c:v>
                </c:pt>
                <c:pt idx="556">
                  <c:v>6</c:v>
                </c:pt>
                <c:pt idx="557">
                  <c:v>5</c:v>
                </c:pt>
                <c:pt idx="558">
                  <c:v>7</c:v>
                </c:pt>
                <c:pt idx="559">
                  <c:v>1</c:v>
                </c:pt>
                <c:pt idx="560">
                  <c:v>4</c:v>
                </c:pt>
                <c:pt idx="561">
                  <c:v>6</c:v>
                </c:pt>
                <c:pt idx="562">
                  <c:v>6</c:v>
                </c:pt>
                <c:pt idx="563">
                  <c:v>7</c:v>
                </c:pt>
                <c:pt idx="564">
                  <c:v>4</c:v>
                </c:pt>
                <c:pt idx="565">
                  <c:v>5</c:v>
                </c:pt>
                <c:pt idx="566">
                  <c:v>6</c:v>
                </c:pt>
                <c:pt idx="567">
                  <c:v>7</c:v>
                </c:pt>
                <c:pt idx="568">
                  <c:v>5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1</c:v>
                </c:pt>
                <c:pt idx="573">
                  <c:v>4</c:v>
                </c:pt>
                <c:pt idx="574">
                  <c:v>2</c:v>
                </c:pt>
                <c:pt idx="575">
                  <c:v>6</c:v>
                </c:pt>
                <c:pt idx="576">
                  <c:v>6</c:v>
                </c:pt>
                <c:pt idx="577">
                  <c:v>9</c:v>
                </c:pt>
                <c:pt idx="578">
                  <c:v>5</c:v>
                </c:pt>
                <c:pt idx="579">
                  <c:v>3</c:v>
                </c:pt>
                <c:pt idx="580">
                  <c:v>6</c:v>
                </c:pt>
                <c:pt idx="581">
                  <c:v>3</c:v>
                </c:pt>
                <c:pt idx="582">
                  <c:v>9</c:v>
                </c:pt>
                <c:pt idx="583">
                  <c:v>10</c:v>
                </c:pt>
                <c:pt idx="584">
                  <c:v>5</c:v>
                </c:pt>
                <c:pt idx="585">
                  <c:v>6</c:v>
                </c:pt>
                <c:pt idx="586">
                  <c:v>7</c:v>
                </c:pt>
                <c:pt idx="587">
                  <c:v>7</c:v>
                </c:pt>
                <c:pt idx="588">
                  <c:v>5</c:v>
                </c:pt>
                <c:pt idx="589">
                  <c:v>6</c:v>
                </c:pt>
                <c:pt idx="590">
                  <c:v>3</c:v>
                </c:pt>
                <c:pt idx="591">
                  <c:v>3</c:v>
                </c:pt>
                <c:pt idx="592">
                  <c:v>6</c:v>
                </c:pt>
                <c:pt idx="593">
                  <c:v>6</c:v>
                </c:pt>
                <c:pt idx="594">
                  <c:v>1</c:v>
                </c:pt>
                <c:pt idx="595">
                  <c:v>8</c:v>
                </c:pt>
                <c:pt idx="596">
                  <c:v>6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2</c:v>
                </c:pt>
                <c:pt idx="601">
                  <c:v>5</c:v>
                </c:pt>
                <c:pt idx="602">
                  <c:v>5</c:v>
                </c:pt>
                <c:pt idx="603">
                  <c:v>1</c:v>
                </c:pt>
                <c:pt idx="604">
                  <c:v>8</c:v>
                </c:pt>
                <c:pt idx="605">
                  <c:v>6</c:v>
                </c:pt>
                <c:pt idx="606">
                  <c:v>6</c:v>
                </c:pt>
                <c:pt idx="607">
                  <c:v>5</c:v>
                </c:pt>
                <c:pt idx="608">
                  <c:v>3</c:v>
                </c:pt>
                <c:pt idx="609">
                  <c:v>7</c:v>
                </c:pt>
                <c:pt idx="610">
                  <c:v>9</c:v>
                </c:pt>
                <c:pt idx="611">
                  <c:v>4</c:v>
                </c:pt>
                <c:pt idx="612">
                  <c:v>3</c:v>
                </c:pt>
                <c:pt idx="613">
                  <c:v>5</c:v>
                </c:pt>
                <c:pt idx="614">
                  <c:v>5</c:v>
                </c:pt>
                <c:pt idx="615">
                  <c:v>3</c:v>
                </c:pt>
                <c:pt idx="616">
                  <c:v>5</c:v>
                </c:pt>
                <c:pt idx="617">
                  <c:v>2</c:v>
                </c:pt>
                <c:pt idx="618">
                  <c:v>3</c:v>
                </c:pt>
                <c:pt idx="619">
                  <c:v>5</c:v>
                </c:pt>
                <c:pt idx="620">
                  <c:v>2</c:v>
                </c:pt>
                <c:pt idx="621">
                  <c:v>2</c:v>
                </c:pt>
                <c:pt idx="622">
                  <c:v>4</c:v>
                </c:pt>
                <c:pt idx="623">
                  <c:v>5</c:v>
                </c:pt>
                <c:pt idx="624">
                  <c:v>4</c:v>
                </c:pt>
                <c:pt idx="625">
                  <c:v>7</c:v>
                </c:pt>
                <c:pt idx="626">
                  <c:v>3</c:v>
                </c:pt>
                <c:pt idx="627">
                  <c:v>2</c:v>
                </c:pt>
                <c:pt idx="628">
                  <c:v>5</c:v>
                </c:pt>
                <c:pt idx="629">
                  <c:v>5</c:v>
                </c:pt>
                <c:pt idx="630">
                  <c:v>4</c:v>
                </c:pt>
                <c:pt idx="631">
                  <c:v>3</c:v>
                </c:pt>
                <c:pt idx="632">
                  <c:v>5</c:v>
                </c:pt>
                <c:pt idx="633">
                  <c:v>3</c:v>
                </c:pt>
                <c:pt idx="634">
                  <c:v>3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4</c:v>
                </c:pt>
                <c:pt idx="639">
                  <c:v>6</c:v>
                </c:pt>
                <c:pt idx="640">
                  <c:v>6</c:v>
                </c:pt>
                <c:pt idx="641">
                  <c:v>2</c:v>
                </c:pt>
                <c:pt idx="642">
                  <c:v>1</c:v>
                </c:pt>
                <c:pt idx="643">
                  <c:v>5</c:v>
                </c:pt>
                <c:pt idx="644">
                  <c:v>4</c:v>
                </c:pt>
                <c:pt idx="645">
                  <c:v>7</c:v>
                </c:pt>
                <c:pt idx="646">
                  <c:v>5</c:v>
                </c:pt>
                <c:pt idx="647">
                  <c:v>7</c:v>
                </c:pt>
                <c:pt idx="648">
                  <c:v>1</c:v>
                </c:pt>
                <c:pt idx="649">
                  <c:v>7</c:v>
                </c:pt>
                <c:pt idx="650">
                  <c:v>5</c:v>
                </c:pt>
                <c:pt idx="651">
                  <c:v>9</c:v>
                </c:pt>
                <c:pt idx="652">
                  <c:v>6</c:v>
                </c:pt>
                <c:pt idx="653">
                  <c:v>3</c:v>
                </c:pt>
                <c:pt idx="654">
                  <c:v>1</c:v>
                </c:pt>
                <c:pt idx="655">
                  <c:v>1</c:v>
                </c:pt>
                <c:pt idx="656">
                  <c:v>3</c:v>
                </c:pt>
                <c:pt idx="657">
                  <c:v>5</c:v>
                </c:pt>
                <c:pt idx="658">
                  <c:v>1</c:v>
                </c:pt>
                <c:pt idx="659">
                  <c:v>1</c:v>
                </c:pt>
                <c:pt idx="660">
                  <c:v>6</c:v>
                </c:pt>
                <c:pt idx="661">
                  <c:v>1</c:v>
                </c:pt>
                <c:pt idx="662">
                  <c:v>8</c:v>
                </c:pt>
                <c:pt idx="663">
                  <c:v>8</c:v>
                </c:pt>
                <c:pt idx="664">
                  <c:v>7</c:v>
                </c:pt>
                <c:pt idx="665">
                  <c:v>3</c:v>
                </c:pt>
                <c:pt idx="666">
                  <c:v>7</c:v>
                </c:pt>
                <c:pt idx="667">
                  <c:v>9</c:v>
                </c:pt>
                <c:pt idx="668">
                  <c:v>4</c:v>
                </c:pt>
                <c:pt idx="669">
                  <c:v>3</c:v>
                </c:pt>
                <c:pt idx="670">
                  <c:v>1</c:v>
                </c:pt>
                <c:pt idx="671">
                  <c:v>6</c:v>
                </c:pt>
                <c:pt idx="672">
                  <c:v>2</c:v>
                </c:pt>
                <c:pt idx="673">
                  <c:v>4</c:v>
                </c:pt>
                <c:pt idx="674">
                  <c:v>9</c:v>
                </c:pt>
                <c:pt idx="675">
                  <c:v>7</c:v>
                </c:pt>
                <c:pt idx="676">
                  <c:v>9</c:v>
                </c:pt>
                <c:pt idx="677">
                  <c:v>1</c:v>
                </c:pt>
                <c:pt idx="678">
                  <c:v>4</c:v>
                </c:pt>
                <c:pt idx="679">
                  <c:v>10</c:v>
                </c:pt>
                <c:pt idx="680">
                  <c:v>7</c:v>
                </c:pt>
                <c:pt idx="681">
                  <c:v>7</c:v>
                </c:pt>
                <c:pt idx="682">
                  <c:v>4</c:v>
                </c:pt>
                <c:pt idx="683">
                  <c:v>1</c:v>
                </c:pt>
                <c:pt idx="684">
                  <c:v>4</c:v>
                </c:pt>
                <c:pt idx="685">
                  <c:v>6</c:v>
                </c:pt>
                <c:pt idx="686">
                  <c:v>5</c:v>
                </c:pt>
                <c:pt idx="687">
                  <c:v>7</c:v>
                </c:pt>
                <c:pt idx="688">
                  <c:v>1</c:v>
                </c:pt>
                <c:pt idx="689">
                  <c:v>6</c:v>
                </c:pt>
                <c:pt idx="690">
                  <c:v>4</c:v>
                </c:pt>
                <c:pt idx="691">
                  <c:v>7</c:v>
                </c:pt>
                <c:pt idx="692">
                  <c:v>6</c:v>
                </c:pt>
                <c:pt idx="693">
                  <c:v>4</c:v>
                </c:pt>
                <c:pt idx="694">
                  <c:v>7</c:v>
                </c:pt>
                <c:pt idx="695">
                  <c:v>6</c:v>
                </c:pt>
                <c:pt idx="696">
                  <c:v>1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7</c:v>
                </c:pt>
                <c:pt idx="701">
                  <c:v>7</c:v>
                </c:pt>
                <c:pt idx="702">
                  <c:v>6</c:v>
                </c:pt>
                <c:pt idx="703">
                  <c:v>2</c:v>
                </c:pt>
                <c:pt idx="704">
                  <c:v>4</c:v>
                </c:pt>
                <c:pt idx="705">
                  <c:v>8</c:v>
                </c:pt>
                <c:pt idx="706">
                  <c:v>3</c:v>
                </c:pt>
                <c:pt idx="707">
                  <c:v>2</c:v>
                </c:pt>
                <c:pt idx="708">
                  <c:v>5</c:v>
                </c:pt>
                <c:pt idx="709">
                  <c:v>4</c:v>
                </c:pt>
                <c:pt idx="710">
                  <c:v>6</c:v>
                </c:pt>
                <c:pt idx="711">
                  <c:v>3</c:v>
                </c:pt>
                <c:pt idx="712">
                  <c:v>7</c:v>
                </c:pt>
                <c:pt idx="713">
                  <c:v>4</c:v>
                </c:pt>
                <c:pt idx="714">
                  <c:v>4</c:v>
                </c:pt>
                <c:pt idx="715">
                  <c:v>8</c:v>
                </c:pt>
                <c:pt idx="716">
                  <c:v>5</c:v>
                </c:pt>
                <c:pt idx="717">
                  <c:v>8</c:v>
                </c:pt>
                <c:pt idx="718">
                  <c:v>5</c:v>
                </c:pt>
                <c:pt idx="719">
                  <c:v>5</c:v>
                </c:pt>
                <c:pt idx="720">
                  <c:v>4</c:v>
                </c:pt>
                <c:pt idx="721">
                  <c:v>3</c:v>
                </c:pt>
                <c:pt idx="722">
                  <c:v>7</c:v>
                </c:pt>
                <c:pt idx="723">
                  <c:v>6</c:v>
                </c:pt>
                <c:pt idx="724">
                  <c:v>5</c:v>
                </c:pt>
                <c:pt idx="725">
                  <c:v>6</c:v>
                </c:pt>
                <c:pt idx="726">
                  <c:v>1</c:v>
                </c:pt>
                <c:pt idx="727">
                  <c:v>3</c:v>
                </c:pt>
                <c:pt idx="728">
                  <c:v>7</c:v>
                </c:pt>
                <c:pt idx="729">
                  <c:v>1</c:v>
                </c:pt>
                <c:pt idx="730">
                  <c:v>5</c:v>
                </c:pt>
                <c:pt idx="731">
                  <c:v>4</c:v>
                </c:pt>
                <c:pt idx="732">
                  <c:v>6</c:v>
                </c:pt>
                <c:pt idx="733">
                  <c:v>4</c:v>
                </c:pt>
                <c:pt idx="734">
                  <c:v>7</c:v>
                </c:pt>
                <c:pt idx="735">
                  <c:v>8</c:v>
                </c:pt>
                <c:pt idx="736">
                  <c:v>3</c:v>
                </c:pt>
                <c:pt idx="737">
                  <c:v>8</c:v>
                </c:pt>
                <c:pt idx="738">
                  <c:v>1</c:v>
                </c:pt>
                <c:pt idx="739">
                  <c:v>4</c:v>
                </c:pt>
                <c:pt idx="740">
                  <c:v>6</c:v>
                </c:pt>
                <c:pt idx="741">
                  <c:v>1</c:v>
                </c:pt>
                <c:pt idx="742">
                  <c:v>5</c:v>
                </c:pt>
                <c:pt idx="743">
                  <c:v>5</c:v>
                </c:pt>
                <c:pt idx="744">
                  <c:v>3</c:v>
                </c:pt>
                <c:pt idx="745">
                  <c:v>5</c:v>
                </c:pt>
                <c:pt idx="746">
                  <c:v>7</c:v>
                </c:pt>
                <c:pt idx="747">
                  <c:v>6</c:v>
                </c:pt>
                <c:pt idx="748">
                  <c:v>6</c:v>
                </c:pt>
                <c:pt idx="749">
                  <c:v>8</c:v>
                </c:pt>
                <c:pt idx="750">
                  <c:v>7</c:v>
                </c:pt>
                <c:pt idx="751">
                  <c:v>6</c:v>
                </c:pt>
                <c:pt idx="752">
                  <c:v>2</c:v>
                </c:pt>
                <c:pt idx="753">
                  <c:v>4</c:v>
                </c:pt>
                <c:pt idx="754">
                  <c:v>2</c:v>
                </c:pt>
                <c:pt idx="755">
                  <c:v>4</c:v>
                </c:pt>
                <c:pt idx="756">
                  <c:v>1</c:v>
                </c:pt>
                <c:pt idx="757">
                  <c:v>6</c:v>
                </c:pt>
                <c:pt idx="758">
                  <c:v>4</c:v>
                </c:pt>
                <c:pt idx="759">
                  <c:v>6</c:v>
                </c:pt>
                <c:pt idx="760">
                  <c:v>5</c:v>
                </c:pt>
                <c:pt idx="761">
                  <c:v>8</c:v>
                </c:pt>
                <c:pt idx="762">
                  <c:v>4</c:v>
                </c:pt>
                <c:pt idx="763">
                  <c:v>6</c:v>
                </c:pt>
                <c:pt idx="764">
                  <c:v>6</c:v>
                </c:pt>
                <c:pt idx="765">
                  <c:v>3</c:v>
                </c:pt>
                <c:pt idx="766">
                  <c:v>3</c:v>
                </c:pt>
                <c:pt idx="767">
                  <c:v>5</c:v>
                </c:pt>
                <c:pt idx="768">
                  <c:v>5</c:v>
                </c:pt>
                <c:pt idx="769">
                  <c:v>3</c:v>
                </c:pt>
                <c:pt idx="770">
                  <c:v>8</c:v>
                </c:pt>
                <c:pt idx="771">
                  <c:v>3</c:v>
                </c:pt>
                <c:pt idx="772">
                  <c:v>1</c:v>
                </c:pt>
                <c:pt idx="773">
                  <c:v>5</c:v>
                </c:pt>
                <c:pt idx="774">
                  <c:v>4</c:v>
                </c:pt>
                <c:pt idx="775">
                  <c:v>5</c:v>
                </c:pt>
                <c:pt idx="776">
                  <c:v>7</c:v>
                </c:pt>
                <c:pt idx="777">
                  <c:v>3</c:v>
                </c:pt>
                <c:pt idx="778">
                  <c:v>1</c:v>
                </c:pt>
                <c:pt idx="779">
                  <c:v>8</c:v>
                </c:pt>
                <c:pt idx="780">
                  <c:v>1</c:v>
                </c:pt>
                <c:pt idx="781">
                  <c:v>5</c:v>
                </c:pt>
                <c:pt idx="782">
                  <c:v>6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9</c:v>
                </c:pt>
                <c:pt idx="787">
                  <c:v>7</c:v>
                </c:pt>
                <c:pt idx="788">
                  <c:v>4</c:v>
                </c:pt>
                <c:pt idx="789">
                  <c:v>2</c:v>
                </c:pt>
                <c:pt idx="790">
                  <c:v>2</c:v>
                </c:pt>
                <c:pt idx="791">
                  <c:v>4</c:v>
                </c:pt>
                <c:pt idx="792">
                  <c:v>5</c:v>
                </c:pt>
                <c:pt idx="793">
                  <c:v>1</c:v>
                </c:pt>
                <c:pt idx="794">
                  <c:v>4</c:v>
                </c:pt>
                <c:pt idx="795">
                  <c:v>7</c:v>
                </c:pt>
                <c:pt idx="796">
                  <c:v>2</c:v>
                </c:pt>
                <c:pt idx="797">
                  <c:v>6</c:v>
                </c:pt>
                <c:pt idx="798">
                  <c:v>6</c:v>
                </c:pt>
                <c:pt idx="799">
                  <c:v>7</c:v>
                </c:pt>
                <c:pt idx="800">
                  <c:v>8</c:v>
                </c:pt>
                <c:pt idx="801">
                  <c:v>3</c:v>
                </c:pt>
                <c:pt idx="802">
                  <c:v>7</c:v>
                </c:pt>
                <c:pt idx="803">
                  <c:v>6</c:v>
                </c:pt>
                <c:pt idx="804">
                  <c:v>9</c:v>
                </c:pt>
                <c:pt idx="805">
                  <c:v>3</c:v>
                </c:pt>
                <c:pt idx="806">
                  <c:v>6</c:v>
                </c:pt>
                <c:pt idx="807">
                  <c:v>4</c:v>
                </c:pt>
                <c:pt idx="808">
                  <c:v>2</c:v>
                </c:pt>
                <c:pt idx="809">
                  <c:v>5</c:v>
                </c:pt>
                <c:pt idx="810">
                  <c:v>6</c:v>
                </c:pt>
                <c:pt idx="811">
                  <c:v>7</c:v>
                </c:pt>
                <c:pt idx="812">
                  <c:v>1</c:v>
                </c:pt>
                <c:pt idx="813">
                  <c:v>8</c:v>
                </c:pt>
                <c:pt idx="814">
                  <c:v>3</c:v>
                </c:pt>
                <c:pt idx="815">
                  <c:v>3</c:v>
                </c:pt>
                <c:pt idx="816">
                  <c:v>2</c:v>
                </c:pt>
                <c:pt idx="817">
                  <c:v>6</c:v>
                </c:pt>
                <c:pt idx="818">
                  <c:v>5</c:v>
                </c:pt>
                <c:pt idx="819">
                  <c:v>4</c:v>
                </c:pt>
                <c:pt idx="820">
                  <c:v>4</c:v>
                </c:pt>
                <c:pt idx="821">
                  <c:v>1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6</c:v>
                </c:pt>
                <c:pt idx="826">
                  <c:v>7</c:v>
                </c:pt>
                <c:pt idx="827">
                  <c:v>5</c:v>
                </c:pt>
                <c:pt idx="828">
                  <c:v>1</c:v>
                </c:pt>
                <c:pt idx="829">
                  <c:v>5</c:v>
                </c:pt>
                <c:pt idx="830">
                  <c:v>4</c:v>
                </c:pt>
                <c:pt idx="831">
                  <c:v>3</c:v>
                </c:pt>
                <c:pt idx="832">
                  <c:v>7</c:v>
                </c:pt>
                <c:pt idx="833">
                  <c:v>6</c:v>
                </c:pt>
                <c:pt idx="834">
                  <c:v>8</c:v>
                </c:pt>
                <c:pt idx="835">
                  <c:v>4</c:v>
                </c:pt>
                <c:pt idx="836">
                  <c:v>7</c:v>
                </c:pt>
                <c:pt idx="837">
                  <c:v>4</c:v>
                </c:pt>
                <c:pt idx="838">
                  <c:v>2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3</c:v>
                </c:pt>
                <c:pt idx="845">
                  <c:v>2</c:v>
                </c:pt>
                <c:pt idx="846">
                  <c:v>3</c:v>
                </c:pt>
                <c:pt idx="847">
                  <c:v>10</c:v>
                </c:pt>
                <c:pt idx="848">
                  <c:v>7</c:v>
                </c:pt>
                <c:pt idx="849">
                  <c:v>5</c:v>
                </c:pt>
                <c:pt idx="850">
                  <c:v>4</c:v>
                </c:pt>
                <c:pt idx="851">
                  <c:v>6</c:v>
                </c:pt>
                <c:pt idx="852">
                  <c:v>7</c:v>
                </c:pt>
                <c:pt idx="853">
                  <c:v>6</c:v>
                </c:pt>
                <c:pt idx="854">
                  <c:v>6</c:v>
                </c:pt>
                <c:pt idx="855">
                  <c:v>4</c:v>
                </c:pt>
                <c:pt idx="856">
                  <c:v>3</c:v>
                </c:pt>
                <c:pt idx="857">
                  <c:v>7</c:v>
                </c:pt>
                <c:pt idx="858">
                  <c:v>8</c:v>
                </c:pt>
                <c:pt idx="859">
                  <c:v>5</c:v>
                </c:pt>
                <c:pt idx="860">
                  <c:v>5</c:v>
                </c:pt>
                <c:pt idx="861">
                  <c:v>6</c:v>
                </c:pt>
                <c:pt idx="862">
                  <c:v>8</c:v>
                </c:pt>
                <c:pt idx="863">
                  <c:v>6</c:v>
                </c:pt>
                <c:pt idx="864">
                  <c:v>7</c:v>
                </c:pt>
                <c:pt idx="865">
                  <c:v>6</c:v>
                </c:pt>
                <c:pt idx="866">
                  <c:v>3</c:v>
                </c:pt>
                <c:pt idx="867">
                  <c:v>1</c:v>
                </c:pt>
                <c:pt idx="868">
                  <c:v>6</c:v>
                </c:pt>
                <c:pt idx="869">
                  <c:v>2</c:v>
                </c:pt>
                <c:pt idx="870">
                  <c:v>5</c:v>
                </c:pt>
                <c:pt idx="871">
                  <c:v>9</c:v>
                </c:pt>
                <c:pt idx="872">
                  <c:v>7</c:v>
                </c:pt>
                <c:pt idx="873">
                  <c:v>3</c:v>
                </c:pt>
                <c:pt idx="874">
                  <c:v>5</c:v>
                </c:pt>
                <c:pt idx="875">
                  <c:v>1</c:v>
                </c:pt>
                <c:pt idx="876">
                  <c:v>6</c:v>
                </c:pt>
                <c:pt idx="877">
                  <c:v>3</c:v>
                </c:pt>
                <c:pt idx="878">
                  <c:v>3</c:v>
                </c:pt>
                <c:pt idx="879">
                  <c:v>5</c:v>
                </c:pt>
                <c:pt idx="880">
                  <c:v>6</c:v>
                </c:pt>
                <c:pt idx="881">
                  <c:v>6</c:v>
                </c:pt>
                <c:pt idx="882">
                  <c:v>3</c:v>
                </c:pt>
                <c:pt idx="883">
                  <c:v>1</c:v>
                </c:pt>
                <c:pt idx="884">
                  <c:v>7</c:v>
                </c:pt>
                <c:pt idx="885">
                  <c:v>1</c:v>
                </c:pt>
                <c:pt idx="886">
                  <c:v>7</c:v>
                </c:pt>
                <c:pt idx="887">
                  <c:v>8</c:v>
                </c:pt>
                <c:pt idx="888">
                  <c:v>8</c:v>
                </c:pt>
                <c:pt idx="889">
                  <c:v>4</c:v>
                </c:pt>
                <c:pt idx="890">
                  <c:v>7</c:v>
                </c:pt>
                <c:pt idx="891">
                  <c:v>5</c:v>
                </c:pt>
                <c:pt idx="892">
                  <c:v>5</c:v>
                </c:pt>
                <c:pt idx="893">
                  <c:v>9</c:v>
                </c:pt>
                <c:pt idx="894">
                  <c:v>3</c:v>
                </c:pt>
                <c:pt idx="895">
                  <c:v>7</c:v>
                </c:pt>
                <c:pt idx="896">
                  <c:v>6</c:v>
                </c:pt>
                <c:pt idx="897">
                  <c:v>6</c:v>
                </c:pt>
                <c:pt idx="898">
                  <c:v>10</c:v>
                </c:pt>
                <c:pt idx="899">
                  <c:v>8</c:v>
                </c:pt>
                <c:pt idx="900">
                  <c:v>7</c:v>
                </c:pt>
                <c:pt idx="901">
                  <c:v>9</c:v>
                </c:pt>
                <c:pt idx="902">
                  <c:v>10</c:v>
                </c:pt>
                <c:pt idx="903">
                  <c:v>5</c:v>
                </c:pt>
                <c:pt idx="904">
                  <c:v>5</c:v>
                </c:pt>
                <c:pt idx="905">
                  <c:v>1</c:v>
                </c:pt>
                <c:pt idx="906">
                  <c:v>3</c:v>
                </c:pt>
                <c:pt idx="907">
                  <c:v>3</c:v>
                </c:pt>
                <c:pt idx="908">
                  <c:v>7</c:v>
                </c:pt>
                <c:pt idx="909">
                  <c:v>7</c:v>
                </c:pt>
                <c:pt idx="910">
                  <c:v>8</c:v>
                </c:pt>
                <c:pt idx="911">
                  <c:v>2</c:v>
                </c:pt>
                <c:pt idx="912">
                  <c:v>7</c:v>
                </c:pt>
                <c:pt idx="913">
                  <c:v>2</c:v>
                </c:pt>
                <c:pt idx="914">
                  <c:v>3</c:v>
                </c:pt>
                <c:pt idx="915">
                  <c:v>8</c:v>
                </c:pt>
                <c:pt idx="916">
                  <c:v>4</c:v>
                </c:pt>
                <c:pt idx="917">
                  <c:v>5</c:v>
                </c:pt>
                <c:pt idx="918">
                  <c:v>8</c:v>
                </c:pt>
                <c:pt idx="919">
                  <c:v>6</c:v>
                </c:pt>
                <c:pt idx="920">
                  <c:v>9</c:v>
                </c:pt>
                <c:pt idx="921">
                  <c:v>1</c:v>
                </c:pt>
                <c:pt idx="922">
                  <c:v>10</c:v>
                </c:pt>
                <c:pt idx="923">
                  <c:v>7</c:v>
                </c:pt>
                <c:pt idx="924">
                  <c:v>8</c:v>
                </c:pt>
                <c:pt idx="925">
                  <c:v>7</c:v>
                </c:pt>
                <c:pt idx="926">
                  <c:v>3</c:v>
                </c:pt>
                <c:pt idx="927">
                  <c:v>10</c:v>
                </c:pt>
                <c:pt idx="928">
                  <c:v>5</c:v>
                </c:pt>
                <c:pt idx="929">
                  <c:v>7</c:v>
                </c:pt>
                <c:pt idx="930">
                  <c:v>8</c:v>
                </c:pt>
                <c:pt idx="931">
                  <c:v>2</c:v>
                </c:pt>
                <c:pt idx="932">
                  <c:v>10</c:v>
                </c:pt>
                <c:pt idx="933">
                  <c:v>5</c:v>
                </c:pt>
                <c:pt idx="934">
                  <c:v>4</c:v>
                </c:pt>
                <c:pt idx="935">
                  <c:v>6</c:v>
                </c:pt>
                <c:pt idx="936">
                  <c:v>2</c:v>
                </c:pt>
                <c:pt idx="937">
                  <c:v>2</c:v>
                </c:pt>
                <c:pt idx="938">
                  <c:v>6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7</c:v>
                </c:pt>
                <c:pt idx="943">
                  <c:v>3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4</c:v>
                </c:pt>
                <c:pt idx="948">
                  <c:v>3</c:v>
                </c:pt>
                <c:pt idx="949">
                  <c:v>2</c:v>
                </c:pt>
                <c:pt idx="950">
                  <c:v>10</c:v>
                </c:pt>
                <c:pt idx="951">
                  <c:v>6</c:v>
                </c:pt>
                <c:pt idx="952">
                  <c:v>6</c:v>
                </c:pt>
                <c:pt idx="953">
                  <c:v>4</c:v>
                </c:pt>
                <c:pt idx="954">
                  <c:v>8</c:v>
                </c:pt>
                <c:pt idx="955">
                  <c:v>6</c:v>
                </c:pt>
                <c:pt idx="956">
                  <c:v>3</c:v>
                </c:pt>
                <c:pt idx="957">
                  <c:v>8</c:v>
                </c:pt>
                <c:pt idx="958">
                  <c:v>5</c:v>
                </c:pt>
                <c:pt idx="959">
                  <c:v>6</c:v>
                </c:pt>
                <c:pt idx="960">
                  <c:v>3</c:v>
                </c:pt>
                <c:pt idx="961">
                  <c:v>7</c:v>
                </c:pt>
                <c:pt idx="962">
                  <c:v>5</c:v>
                </c:pt>
                <c:pt idx="963">
                  <c:v>3</c:v>
                </c:pt>
                <c:pt idx="964">
                  <c:v>6</c:v>
                </c:pt>
                <c:pt idx="965">
                  <c:v>6</c:v>
                </c:pt>
                <c:pt idx="966">
                  <c:v>1</c:v>
                </c:pt>
                <c:pt idx="967">
                  <c:v>5</c:v>
                </c:pt>
                <c:pt idx="968">
                  <c:v>10</c:v>
                </c:pt>
                <c:pt idx="969">
                  <c:v>6</c:v>
                </c:pt>
                <c:pt idx="970">
                  <c:v>9</c:v>
                </c:pt>
                <c:pt idx="971">
                  <c:v>3</c:v>
                </c:pt>
                <c:pt idx="972">
                  <c:v>9</c:v>
                </c:pt>
                <c:pt idx="973">
                  <c:v>3</c:v>
                </c:pt>
                <c:pt idx="974">
                  <c:v>8</c:v>
                </c:pt>
                <c:pt idx="975">
                  <c:v>9</c:v>
                </c:pt>
                <c:pt idx="976">
                  <c:v>2</c:v>
                </c:pt>
                <c:pt idx="977">
                  <c:v>8</c:v>
                </c:pt>
                <c:pt idx="978">
                  <c:v>8</c:v>
                </c:pt>
                <c:pt idx="979">
                  <c:v>6</c:v>
                </c:pt>
                <c:pt idx="980">
                  <c:v>4</c:v>
                </c:pt>
                <c:pt idx="981">
                  <c:v>2</c:v>
                </c:pt>
                <c:pt idx="982">
                  <c:v>7</c:v>
                </c:pt>
                <c:pt idx="983">
                  <c:v>6</c:v>
                </c:pt>
                <c:pt idx="984">
                  <c:v>6</c:v>
                </c:pt>
                <c:pt idx="985">
                  <c:v>3</c:v>
                </c:pt>
                <c:pt idx="986">
                  <c:v>8</c:v>
                </c:pt>
                <c:pt idx="987">
                  <c:v>7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7</c:v>
                </c:pt>
                <c:pt idx="992">
                  <c:v>5</c:v>
                </c:pt>
                <c:pt idx="993">
                  <c:v>3</c:v>
                </c:pt>
                <c:pt idx="994">
                  <c:v>8</c:v>
                </c:pt>
                <c:pt idx="995">
                  <c:v>4</c:v>
                </c:pt>
                <c:pt idx="996">
                  <c:v>5</c:v>
                </c:pt>
                <c:pt idx="997">
                  <c:v>7</c:v>
                </c:pt>
                <c:pt idx="998">
                  <c:v>7</c:v>
                </c:pt>
                <c:pt idx="99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C-4C89-8AFE-2E596D13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557231"/>
        <c:axId val="619953903"/>
      </c:scatterChart>
      <c:valAx>
        <c:axId val="11495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Doba dodání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9953903"/>
        <c:crosses val="autoZero"/>
        <c:crossBetween val="midCat"/>
      </c:valAx>
      <c:valAx>
        <c:axId val="6199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Spokojenost</a:t>
                </a:r>
                <a:r>
                  <a:rPr lang="cs-CZ" baseline="0"/>
                  <a:t> zákazníka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955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[dataset_prodejny_nabytek.xlsx]ukol2!Kontingenční tabulka3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ukol2!$I$17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ukol2!$H$18:$H$20</c:f>
              <c:strCache>
                <c:ptCount val="2"/>
                <c:pt idx="0">
                  <c:v>ne</c:v>
                </c:pt>
                <c:pt idx="1">
                  <c:v>ano</c:v>
                </c:pt>
              </c:strCache>
            </c:strRef>
          </c:cat>
          <c:val>
            <c:numRef>
              <c:f>ukol2!$I$18:$I$20</c:f>
              <c:numCache>
                <c:formatCode>General</c:formatCode>
                <c:ptCount val="2"/>
                <c:pt idx="0">
                  <c:v>50426000</c:v>
                </c:pt>
                <c:pt idx="1">
                  <c:v>28390000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4-4305-83B8-BA897D74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552591"/>
        <c:axId val="620142063"/>
      </c:barChart>
      <c:catAx>
        <c:axId val="114955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Eshop</a:t>
                </a:r>
              </a:p>
              <a:p>
                <a:pPr>
                  <a:defRPr/>
                </a:pP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42063"/>
        <c:crosses val="autoZero"/>
        <c:auto val="1"/>
        <c:lblAlgn val="ctr"/>
        <c:lblOffset val="100"/>
        <c:noMultiLvlLbl val="0"/>
      </c:catAx>
      <c:valAx>
        <c:axId val="62014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Celkový prodej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4955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[dataset_prodejny_nabytek.xlsx]ukol2!Kontingenční tabulka4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ukol2!$C$31</c:f>
              <c:strCache>
                <c:ptCount val="1"/>
                <c:pt idx="0">
                  <c:v>Počet z Reklamace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ukol2!$B$32:$B$39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ukol2!$C$32:$C$39</c:f>
              <c:numCache>
                <c:formatCode>General</c:formatCode>
                <c:ptCount val="7"/>
                <c:pt idx="0">
                  <c:v>147</c:v>
                </c:pt>
                <c:pt idx="1">
                  <c:v>160</c:v>
                </c:pt>
                <c:pt idx="2">
                  <c:v>132</c:v>
                </c:pt>
                <c:pt idx="3">
                  <c:v>150</c:v>
                </c:pt>
                <c:pt idx="4">
                  <c:v>139</c:v>
                </c:pt>
                <c:pt idx="5">
                  <c:v>131</c:v>
                </c:pt>
                <c:pt idx="6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B-4260-A0DE-2AFB882BC37B}"/>
            </c:ext>
          </c:extLst>
        </c:ser>
        <c:ser>
          <c:idx val="1"/>
          <c:order val="1"/>
          <c:tx>
            <c:strRef>
              <c:f>ukol2!$D$31</c:f>
              <c:strCache>
                <c:ptCount val="1"/>
                <c:pt idx="0">
                  <c:v>Součet z dummy_reklamace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ukol2!$B$32:$B$39</c:f>
              <c:strCache>
                <c:ptCount val="7"/>
                <c:pt idx="0">
                  <c:v>Brno</c:v>
                </c:pt>
                <c:pt idx="1">
                  <c:v>Hradec Králové</c:v>
                </c:pt>
                <c:pt idx="2">
                  <c:v>Liberec</c:v>
                </c:pt>
                <c:pt idx="3">
                  <c:v>Olomouc</c:v>
                </c:pt>
                <c:pt idx="4">
                  <c:v>Ostrava</c:v>
                </c:pt>
                <c:pt idx="5">
                  <c:v>Plzeň</c:v>
                </c:pt>
                <c:pt idx="6">
                  <c:v>Praha</c:v>
                </c:pt>
              </c:strCache>
            </c:strRef>
          </c:cat>
          <c:val>
            <c:numRef>
              <c:f>ukol2!$D$32:$D$39</c:f>
              <c:numCache>
                <c:formatCode>General</c:formatCode>
                <c:ptCount val="7"/>
                <c:pt idx="0">
                  <c:v>59</c:v>
                </c:pt>
                <c:pt idx="1">
                  <c:v>78</c:v>
                </c:pt>
                <c:pt idx="2">
                  <c:v>42</c:v>
                </c:pt>
                <c:pt idx="3">
                  <c:v>63</c:v>
                </c:pt>
                <c:pt idx="4">
                  <c:v>63</c:v>
                </c:pt>
                <c:pt idx="5">
                  <c:v>54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B-4260-A0DE-2AFB882BC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9890287"/>
        <c:axId val="619963503"/>
      </c:barChart>
      <c:catAx>
        <c:axId val="90989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Prodejny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19963503"/>
        <c:crosses val="autoZero"/>
        <c:auto val="1"/>
        <c:lblAlgn val="ctr"/>
        <c:lblOffset val="100"/>
        <c:noMultiLvlLbl val="0"/>
      </c:catAx>
      <c:valAx>
        <c:axId val="6199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reklamací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989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[dataset_prodejny_nabytek.xlsx]ukol2!Kontingenční tabulka3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ukol2!$I$17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ukol2!$H$18:$H$20</c:f>
              <c:strCache>
                <c:ptCount val="2"/>
                <c:pt idx="0">
                  <c:v>ne</c:v>
                </c:pt>
                <c:pt idx="1">
                  <c:v>ano</c:v>
                </c:pt>
              </c:strCache>
            </c:strRef>
          </c:cat>
          <c:val>
            <c:numRef>
              <c:f>ukol2!$I$18:$I$20</c:f>
              <c:numCache>
                <c:formatCode>General</c:formatCode>
                <c:ptCount val="2"/>
                <c:pt idx="0">
                  <c:v>50426000</c:v>
                </c:pt>
                <c:pt idx="1">
                  <c:v>28390000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0-42D2-BF50-4AC76B6B20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diagnostika!$C$1</c:f>
              <c:strCache>
                <c:ptCount val="1"/>
                <c:pt idx="0">
                  <c:v>Průměrná doba doručení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diagnostika!$B$2:$B$8</c:f>
              <c:numCache>
                <c:formatCode>General</c:formatCode>
                <c:ptCount val="7"/>
                <c:pt idx="0">
                  <c:v>4.5602836879432624</c:v>
                </c:pt>
                <c:pt idx="1">
                  <c:v>4.3587786259541987</c:v>
                </c:pt>
                <c:pt idx="2">
                  <c:v>4.3741496598639458</c:v>
                </c:pt>
                <c:pt idx="3">
                  <c:v>4.416666666666667</c:v>
                </c:pt>
                <c:pt idx="4">
                  <c:v>4.4733333333333336</c:v>
                </c:pt>
                <c:pt idx="5">
                  <c:v>4.1582733812949639</c:v>
                </c:pt>
                <c:pt idx="6">
                  <c:v>4.3250000000000002</c:v>
                </c:pt>
              </c:numCache>
            </c:numRef>
          </c:xVal>
          <c:yVal>
            <c:numRef>
              <c:f>diagnostika!$C$2:$C$8</c:f>
              <c:numCache>
                <c:formatCode>General</c:formatCode>
                <c:ptCount val="7"/>
                <c:pt idx="0">
                  <c:v>4.8794326241134751</c:v>
                </c:pt>
                <c:pt idx="1">
                  <c:v>5.1221374045801529</c:v>
                </c:pt>
                <c:pt idx="2">
                  <c:v>5.2312925170068025</c:v>
                </c:pt>
                <c:pt idx="3">
                  <c:v>5.0075757575757578</c:v>
                </c:pt>
                <c:pt idx="4">
                  <c:v>5.0199999999999996</c:v>
                </c:pt>
                <c:pt idx="5">
                  <c:v>5.3165467625899279</c:v>
                </c:pt>
                <c:pt idx="6">
                  <c:v>5.2937500000000002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2-4D2F-9DF5-A7E2AFD8B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95391"/>
        <c:axId val="620134863"/>
      </c:scatterChart>
      <c:valAx>
        <c:axId val="90989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Průměrná spokojenost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20134863"/>
        <c:crosses val="autoZero"/>
        <c:crossBetween val="midCat"/>
      </c:valAx>
      <c:valAx>
        <c:axId val="6201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Průměrná doba doručení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989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[dataset_prodejny_nabytek.xlsx]diagnostika!Kontingenční tabulka5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diagnostika!$C$19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diagnostika!$B$20:$B$22</c:f>
              <c:strCache>
                <c:ptCount val="2"/>
                <c:pt idx="0">
                  <c:v>ne</c:v>
                </c:pt>
                <c:pt idx="1">
                  <c:v>ano</c:v>
                </c:pt>
              </c:strCache>
            </c:strRef>
          </c:cat>
          <c:val>
            <c:numRef>
              <c:f>diagnostika!$C$20:$C$22</c:f>
              <c:numCache>
                <c:formatCode>General</c:formatCode>
                <c:ptCount val="2"/>
                <c:pt idx="0">
                  <c:v>5.4058219178082192</c:v>
                </c:pt>
                <c:pt idx="1">
                  <c:v>2.9423076923076925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41C-AB87-07452E9B1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00000001-1172-496F-9120-2B74043517D1}">
          <cx:tx>
            <cx:txData>
              <cx:f>_xlchart.v1.6</cx:f>
              <cx:v>Celkovy_prodej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Název grafu</cx:v>
        </cx:txData>
      </cx:tx>
    </cx:title>
    <cx:plotArea>
      <cx:plotAreaRegion>
        <cx:series layoutId="boxWhisker" uniqueId="{00000001-A5AB-4D27-913F-C27F25B33237}">
          <cx:tx>
            <cx:txData>
              <cx:f>_xlchart.v1.3</cx:f>
              <cx:v>Celkovy_prodej</cx:v>
            </cx:txData>
          </cx:tx>
          <cx:dataId val="0"/>
          <cx:layoutPr>
            <cx:visibility non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_xlchart.v1.14</cx:f>
      </cx:numDim>
    </cx:data>
    <cx:data id="2">
      <cx:numDim type="val">
        <cx:f>_xlchart.v1.15</cx:f>
      </cx:numDim>
    </cx:data>
  </cx:chartData>
  <cx:chart>
    <cx:title pos="t" align="ctr" overlay="0"/>
    <cx:plotArea>
      <cx:plotAreaRegion>
        <cx:series layoutId="boxWhisker" uniqueId="{00000000-3AE5-4626-B5C0-0389FE01F36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AE5-4626-B5C0-0389FE01F36E}">
          <cx:tx>
            <cx:txData>
              <cx:v>Ano</cx:v>
            </cx:txData>
          </cx:tx>
          <cx:dataId val="1"/>
          <cx:layoutPr>
            <cx:statistics quartileMethod="exclusive"/>
          </cx:layoutPr>
        </cx:series>
        <cx:series layoutId="boxWhisker" uniqueId="{00000002-3AE5-4626-B5C0-0389FE01F36E}">
          <cx:tx>
            <cx:txData>
              <cx:v>Ne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_xlchart.v1.12</cx:f>
      </cx:numDim>
    </cx:data>
  </cx:chartData>
  <cx:chart>
    <cx:title pos="t" align="ctr" overlay="0"/>
    <cx:plotArea>
      <cx:plotAreaRegion>
        <cx:series layoutId="boxWhisker" uniqueId="{00000000-4A78-4C4B-A62F-48ACEE35E737}">
          <cx:tx>
            <cx:txData>
              <cx:f>_xlchart.v1.9</cx:f>
              <cx:v>firemní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A78-4C4B-A62F-48ACEE35E737}">
          <cx:tx>
            <cx:txData>
              <cx:f>_xlchart.v1.11</cx:f>
              <cx:v>individuální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366751</xdr:colOff>
      <xdr:row>27</xdr:row>
      <xdr:rowOff>154554</xdr:rowOff>
    </xdr:from>
    <xdr:to>
      <xdr:col>10</xdr:col>
      <xdr:colOff>233757</xdr:colOff>
      <xdr:row>44</xdr:row>
      <xdr:rowOff>126220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 1">
              <a:extLst>
                <a:ext uri="{FF2B5EF4-FFF2-40B4-BE49-F238E27FC236}">
                  <a16:creationId xmlns:a16="http://schemas.microsoft.com/office/drawing/2014/main" id="{CE9E3D15-90B7-CBC4-2F16-F895A5AC7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751" y="5100227"/>
              <a:ext cx="6790948" cy="3085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2</xdr:col>
      <xdr:colOff>199439</xdr:colOff>
      <xdr:row>1</xdr:row>
      <xdr:rowOff>12670</xdr:rowOff>
    </xdr:from>
    <xdr:to>
      <xdr:col>13</xdr:col>
      <xdr:colOff>288704</xdr:colOff>
      <xdr:row>20</xdr:row>
      <xdr:rowOff>155947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 2">
              <a:extLst>
                <a:ext uri="{FF2B5EF4-FFF2-40B4-BE49-F238E27FC236}">
                  <a16:creationId xmlns:a16="http://schemas.microsoft.com/office/drawing/2014/main" id="{C41FF7D1-B99A-6D27-03D5-59915427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5973" y="194511"/>
              <a:ext cx="6947265" cy="359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72217</xdr:colOff>
      <xdr:row>3</xdr:row>
      <xdr:rowOff>34020</xdr:rowOff>
    </xdr:from>
    <xdr:to>
      <xdr:col>4</xdr:col>
      <xdr:colOff>308909</xdr:colOff>
      <xdr:row>18</xdr:row>
      <xdr:rowOff>97155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41C14FB3-7762-06DA-A650-A6A3E3A9A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551447</xdr:colOff>
      <xdr:row>2</xdr:row>
      <xdr:rowOff>164432</xdr:rowOff>
    </xdr:from>
    <xdr:to>
      <xdr:col>12</xdr:col>
      <xdr:colOff>362753</xdr:colOff>
      <xdr:row>18</xdr:row>
      <xdr:rowOff>80211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B7839A6-14EF-2A59-1414-024908E0D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303328</xdr:colOff>
      <xdr:row>1</xdr:row>
      <xdr:rowOff>151489</xdr:rowOff>
    </xdr:from>
    <xdr:to>
      <xdr:col>24</xdr:col>
      <xdr:colOff>375689</xdr:colOff>
      <xdr:row>17</xdr:row>
      <xdr:rowOff>10829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42A5B43-F63C-C981-19A5-CD0178E5D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941509</xdr:colOff>
      <xdr:row>11</xdr:row>
      <xdr:rowOff>181561</xdr:rowOff>
    </xdr:from>
    <xdr:to>
      <xdr:col>11</xdr:col>
      <xdr:colOff>218049</xdr:colOff>
      <xdr:row>26</xdr:row>
      <xdr:rowOff>177165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FA64B90E-820A-C829-6190-7C3A1D0B7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74562</xdr:colOff>
      <xdr:row>19</xdr:row>
      <xdr:rowOff>123299</xdr:rowOff>
    </xdr:from>
    <xdr:to>
      <xdr:col>41</xdr:col>
      <xdr:colOff>33131</xdr:colOff>
      <xdr:row>44</xdr:row>
      <xdr:rowOff>131592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A6D878A6-4734-64A2-DEFF-EC6F1FC71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143071</xdr:colOff>
      <xdr:row>1</xdr:row>
      <xdr:rowOff>104680</xdr:rowOff>
    </xdr:from>
    <xdr:to>
      <xdr:col>17</xdr:col>
      <xdr:colOff>237157</xdr:colOff>
      <xdr:row>16</xdr:row>
      <xdr:rowOff>48390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3DA2B838-87FD-AE19-5873-B08FD3624965}"/>
            </a:ext>
          </a:extLst>
        </xdr:cNvPr>
        <xdr:cNvSpPr txBox="1"/>
      </xdr:nvSpPr>
      <xdr:spPr>
        <a:xfrm>
          <a:off x="7861605" y="288611"/>
          <a:ext cx="4370483" cy="2702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Spočítejte korelaci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mezi: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Dobou dodání a spokojeností zákazníka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Počtem kusů a reklamací (reklamace převedeme na 1/0)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Cenou za kus a celkovým prodejem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Celkovým prodejem a ziskem</a:t>
          </a:r>
        </a:p>
        <a:p>
          <a:pPr rtl="0" fontAlgn="base"/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Prodejem přes e-shop (ano/ne převedeme na 1/0) a celkovým prodejem</a:t>
          </a:r>
        </a:p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Vytvořte bodový graf (scatter)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osa X = Doba dodání osa Y = Spokojenost</a:t>
          </a:r>
        </a:p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Vytvořte sloupcový graf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který porovná celkový prodej mezi objednávkami z e-shopu a mimo něj</a:t>
          </a:r>
        </a:p>
        <a:p>
          <a:pPr rtl="0" fontAlgn="base"/>
          <a:r>
            <a:rPr lang="cs-C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Vytvořte sloupcový graf</a:t>
          </a:r>
          <a:r>
            <a:rPr lang="cs-CZ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který ukáže počet reklamací podle  jednotlivých prodejen</a:t>
          </a:r>
        </a:p>
        <a:p>
          <a:endParaRPr lang="cs-CZ" sz="1100"/>
        </a:p>
      </xdr:txBody>
    </xdr:sp>
    <xdr:clientData/>
  </xdr:twoCellAnchor>
  <xdr:twoCellAnchor>
    <xdr:from>
      <xdr:col>0</xdr:col>
      <xdr:colOff>276499</xdr:colOff>
      <xdr:row>6</xdr:row>
      <xdr:rowOff>100466</xdr:rowOff>
    </xdr:from>
    <xdr:to>
      <xdr:col>5</xdr:col>
      <xdr:colOff>216023</xdr:colOff>
      <xdr:row>21</xdr:row>
      <xdr:rowOff>164382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18D4FD4-65C4-6806-D1A1-E0E0D0E66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352819</xdr:colOff>
      <xdr:row>0</xdr:row>
      <xdr:rowOff>121461</xdr:rowOff>
    </xdr:from>
    <xdr:to>
      <xdr:col>9</xdr:col>
      <xdr:colOff>551793</xdr:colOff>
      <xdr:row>15</xdr:row>
      <xdr:rowOff>99980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599CC57E-3296-5F91-6BA8-B83085772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384231</xdr:colOff>
      <xdr:row>22</xdr:row>
      <xdr:rowOff>126474</xdr:rowOff>
    </xdr:from>
    <xdr:to>
      <xdr:col>9</xdr:col>
      <xdr:colOff>568188</xdr:colOff>
      <xdr:row>37</xdr:row>
      <xdr:rowOff>123079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39B041A8-4D1C-86ED-93F9-E54B553EF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</xdr:colOff>
      <xdr:row>19</xdr:row>
      <xdr:rowOff>5715</xdr:rowOff>
    </xdr:from>
    <xdr:to>
      <xdr:col>18</xdr:col>
      <xdr:colOff>325755</xdr:colOff>
      <xdr:row>34</xdr:row>
      <xdr:rowOff>38100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F1F64E69-BBE3-FD00-C088-B1078EE7A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262980</xdr:colOff>
      <xdr:row>0</xdr:row>
      <xdr:rowOff>176666</xdr:rowOff>
    </xdr:from>
    <xdr:to>
      <xdr:col>10</xdr:col>
      <xdr:colOff>558296</xdr:colOff>
      <xdr:row>16</xdr:row>
      <xdr:rowOff>51257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C489360-477C-CEC5-E6B1-2C575F748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19678</xdr:colOff>
      <xdr:row>17</xdr:row>
      <xdr:rowOff>2992</xdr:rowOff>
    </xdr:from>
    <xdr:to>
      <xdr:col>11</xdr:col>
      <xdr:colOff>326382</xdr:colOff>
      <xdr:row>32</xdr:row>
      <xdr:rowOff>38643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FA4BBD3-CA2A-81B1-DFF2-AA398A13F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76448</xdr:colOff>
      <xdr:row>3</xdr:row>
      <xdr:rowOff>57150</xdr:rowOff>
    </xdr:from>
    <xdr:to>
      <xdr:col>19</xdr:col>
      <xdr:colOff>354246</xdr:colOff>
      <xdr:row>18</xdr:row>
      <xdr:rowOff>63279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 2">
              <a:extLst>
                <a:ext uri="{FF2B5EF4-FFF2-40B4-BE49-F238E27FC236}">
                  <a16:creationId xmlns:a16="http://schemas.microsoft.com/office/drawing/2014/main" id="{B9EF5579-9CD6-F0CA-5B02-E6B023EE0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4165" y="603802"/>
              <a:ext cx="456819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12</xdr:col>
      <xdr:colOff>397566</xdr:colOff>
      <xdr:row>18</xdr:row>
      <xdr:rowOff>75620</xdr:rowOff>
    </xdr:from>
    <xdr:to>
      <xdr:col>20</xdr:col>
      <xdr:colOff>64356</xdr:colOff>
      <xdr:row>33</xdr:row>
      <xdr:rowOff>79844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 3">
              <a:extLst>
                <a:ext uri="{FF2B5EF4-FFF2-40B4-BE49-F238E27FC236}">
                  <a16:creationId xmlns:a16="http://schemas.microsoft.com/office/drawing/2014/main" id="{17ADD917-0E50-E6E1-0724-595269AFD6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5283" y="3355533"/>
              <a:ext cx="4570095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Hamšík" refreshedDate="46207.640650810186" createdVersion="8" refreshedVersion="8" minRefreshableVersion="3" recordCount="1000" xr:uid="{0A2389FE-52EA-4ED5-959E-71BED21CCFB4}">
  <cacheSource type="worksheet">
    <worksheetSource name="Tabulka1"/>
  </cacheSource>
  <cacheFields count="15">
    <cacheField name="ID" numFmtId="0">
      <sharedItems containsSemiMixedTypes="0" containsString="0" containsNumber="1" containsInteger="1" minValue="1" maxValue="1000"/>
    </cacheField>
    <cacheField name="Datum" numFmtId="164">
      <sharedItems containsSemiMixedTypes="0" containsNonDate="0" containsDate="1" containsString="0" minDate="2024-01-01T00:00:00" maxDate="2026-01-01T00:00:00"/>
    </cacheField>
    <cacheField name="Prodejna" numFmtId="0">
      <sharedItems count="7">
        <s v="Praha"/>
        <s v="Plzeň"/>
        <s v="Brno"/>
        <s v="Liberec"/>
        <s v="Olomouc"/>
        <s v="Ostrava"/>
        <s v="Hradec Králové"/>
      </sharedItems>
    </cacheField>
    <cacheField name="Produkt" numFmtId="0">
      <sharedItems count="25">
        <s v="Pohovka Luxusní"/>
        <s v="Skříň Posuvná"/>
        <s v="Postel Čalouněná"/>
        <s v="Skříň Šatní"/>
        <s v="Pohovka Modern"/>
        <s v="TV stolek Modern"/>
        <s v="Postel Dřevěná"/>
        <s v="Křeslo Relax"/>
        <s v="Komoda Bílá"/>
        <s v="Komoda Rustikální"/>
        <s v="Komoda Dubová"/>
        <s v="Stůl Kulatý"/>
        <s v="Postel Dětská"/>
        <s v="TV stolek"/>
        <s v="Křeslo Comfort"/>
        <s v="Konferenční stolek Sklo"/>
        <s v="Stůl Jídelní"/>
        <s v="Židle Herní"/>
        <s v="Regál Kovový"/>
        <s v="Konferenční stolek"/>
        <s v="Stojan na boty"/>
        <s v="Polička Rohová"/>
        <s v="Židle Kovová"/>
        <s v="Polička Nástěnná"/>
        <s v="Židle Elegant"/>
      </sharedItems>
    </cacheField>
    <cacheField name="Pocet_kusu" numFmtId="0">
      <sharedItems containsSemiMixedTypes="0" containsString="0" containsNumber="1" containsInteger="1" minValue="1" maxValue="14"/>
    </cacheField>
    <cacheField name="Cena_za_kus" numFmtId="0">
      <sharedItems containsSemiMixedTypes="0" containsString="0" containsNumber="1" containsInteger="1" minValue="2500" maxValue="25000"/>
    </cacheField>
    <cacheField name="Celkovy_prodej" numFmtId="0">
      <sharedItems containsSemiMixedTypes="0" containsString="0" containsNumber="1" containsInteger="1" minValue="2500" maxValue="350000"/>
    </cacheField>
    <cacheField name="Zisk" numFmtId="0">
      <sharedItems containsSemiMixedTypes="0" containsString="0" containsNumber="1" containsInteger="1" minValue="439" maxValue="103979"/>
    </cacheField>
    <cacheField name="E-shop" numFmtId="0">
      <sharedItems count="2">
        <s v="ano"/>
        <s v="ne"/>
      </sharedItems>
    </cacheField>
    <cacheField name="Doba_dodani" numFmtId="0">
      <sharedItems containsSemiMixedTypes="0" containsString="0" containsNumber="1" containsInteger="1" minValue="1" maxValue="9"/>
    </cacheField>
    <cacheField name="Reklamace" numFmtId="0">
      <sharedItems count="2">
        <s v="ne"/>
        <s v="ano"/>
      </sharedItems>
    </cacheField>
    <cacheField name="Spokojenost" numFmtId="0">
      <sharedItems containsSemiMixedTypes="0" containsString="0" containsNumber="1" containsInteger="1" minValue="1" maxValue="10"/>
    </cacheField>
    <cacheField name="Typ_zakaznika" numFmtId="0">
      <sharedItems count="2">
        <s v="individuální"/>
        <s v="firemní"/>
      </sharedItems>
    </cacheField>
    <cacheField name="dummy_eshop" numFmtId="0">
      <sharedItems containsSemiMixedTypes="0" containsString="0" containsNumber="1" containsInteger="1" minValue="0" maxValue="1"/>
    </cacheField>
    <cacheField name="dummy_reklamac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30"/>
    <d v="2024-04-21T00:00:00"/>
    <x v="0"/>
    <x v="0"/>
    <n v="14"/>
    <n v="25000"/>
    <n v="350000"/>
    <n v="103979"/>
    <x v="0"/>
    <n v="5"/>
    <x v="0"/>
    <n v="3"/>
    <x v="0"/>
    <n v="1"/>
    <n v="0"/>
  </r>
  <r>
    <n v="345"/>
    <d v="2024-06-26T00:00:00"/>
    <x v="1"/>
    <x v="0"/>
    <n v="14"/>
    <n v="25000"/>
    <n v="350000"/>
    <n v="85573"/>
    <x v="1"/>
    <n v="8"/>
    <x v="1"/>
    <n v="1"/>
    <x v="0"/>
    <n v="0"/>
    <n v="1"/>
  </r>
  <r>
    <n v="483"/>
    <d v="2025-01-20T00:00:00"/>
    <x v="2"/>
    <x v="0"/>
    <n v="14"/>
    <n v="25000"/>
    <n v="350000"/>
    <n v="69599"/>
    <x v="1"/>
    <n v="8"/>
    <x v="1"/>
    <n v="2"/>
    <x v="0"/>
    <n v="0"/>
    <n v="1"/>
  </r>
  <r>
    <n v="831"/>
    <d v="2024-01-08T00:00:00"/>
    <x v="1"/>
    <x v="0"/>
    <n v="14"/>
    <n v="25000"/>
    <n v="350000"/>
    <n v="64268"/>
    <x v="0"/>
    <n v="7"/>
    <x v="1"/>
    <n v="1"/>
    <x v="0"/>
    <n v="1"/>
    <n v="1"/>
  </r>
  <r>
    <n v="200"/>
    <d v="2025-03-28T00:00:00"/>
    <x v="0"/>
    <x v="0"/>
    <n v="13"/>
    <n v="25000"/>
    <n v="325000"/>
    <n v="60718"/>
    <x v="1"/>
    <n v="5"/>
    <x v="1"/>
    <n v="4"/>
    <x v="0"/>
    <n v="0"/>
    <n v="1"/>
  </r>
  <r>
    <n v="352"/>
    <d v="2025-01-10T00:00:00"/>
    <x v="3"/>
    <x v="0"/>
    <n v="13"/>
    <n v="25000"/>
    <n v="325000"/>
    <n v="71622"/>
    <x v="1"/>
    <n v="8"/>
    <x v="0"/>
    <n v="1"/>
    <x v="1"/>
    <n v="0"/>
    <n v="0"/>
  </r>
  <r>
    <n v="960"/>
    <d v="2024-06-12T00:00:00"/>
    <x v="2"/>
    <x v="0"/>
    <n v="13"/>
    <n v="25000"/>
    <n v="325000"/>
    <n v="77522"/>
    <x v="0"/>
    <n v="6"/>
    <x v="0"/>
    <n v="5"/>
    <x v="0"/>
    <n v="1"/>
    <n v="0"/>
  </r>
  <r>
    <n v="142"/>
    <d v="2024-06-12T00:00:00"/>
    <x v="4"/>
    <x v="1"/>
    <n v="14"/>
    <n v="22000"/>
    <n v="308000"/>
    <n v="71706"/>
    <x v="1"/>
    <n v="9"/>
    <x v="1"/>
    <n v="1"/>
    <x v="0"/>
    <n v="0"/>
    <n v="1"/>
  </r>
  <r>
    <n v="567"/>
    <d v="2024-05-19T00:00:00"/>
    <x v="4"/>
    <x v="1"/>
    <n v="14"/>
    <n v="22000"/>
    <n v="308000"/>
    <n v="74541"/>
    <x v="1"/>
    <n v="8"/>
    <x v="1"/>
    <n v="1"/>
    <x v="0"/>
    <n v="0"/>
    <n v="1"/>
  </r>
  <r>
    <n v="876"/>
    <d v="2024-10-23T00:00:00"/>
    <x v="5"/>
    <x v="1"/>
    <n v="14"/>
    <n v="22000"/>
    <n v="308000"/>
    <n v="60100"/>
    <x v="1"/>
    <n v="5"/>
    <x v="1"/>
    <n v="3"/>
    <x v="1"/>
    <n v="0"/>
    <n v="1"/>
  </r>
  <r>
    <n v="903"/>
    <d v="2024-07-01T00:00:00"/>
    <x v="4"/>
    <x v="1"/>
    <n v="14"/>
    <n v="22000"/>
    <n v="308000"/>
    <n v="53665"/>
    <x v="0"/>
    <n v="4"/>
    <x v="1"/>
    <n v="7"/>
    <x v="1"/>
    <n v="1"/>
    <n v="1"/>
  </r>
  <r>
    <n v="110"/>
    <d v="2025-02-20T00:00:00"/>
    <x v="4"/>
    <x v="0"/>
    <n v="12"/>
    <n v="25000"/>
    <n v="300000"/>
    <n v="58032"/>
    <x v="0"/>
    <n v="5"/>
    <x v="0"/>
    <n v="5"/>
    <x v="0"/>
    <n v="1"/>
    <n v="0"/>
  </r>
  <r>
    <n v="637"/>
    <d v="2024-01-16T00:00:00"/>
    <x v="1"/>
    <x v="0"/>
    <n v="12"/>
    <n v="25000"/>
    <n v="300000"/>
    <n v="89396"/>
    <x v="1"/>
    <n v="6"/>
    <x v="1"/>
    <n v="3"/>
    <x v="0"/>
    <n v="0"/>
    <n v="1"/>
  </r>
  <r>
    <n v="694"/>
    <d v="2025-05-17T00:00:00"/>
    <x v="6"/>
    <x v="0"/>
    <n v="12"/>
    <n v="25000"/>
    <n v="300000"/>
    <n v="66443"/>
    <x v="1"/>
    <n v="4"/>
    <x v="0"/>
    <n v="6"/>
    <x v="0"/>
    <n v="0"/>
    <n v="0"/>
  </r>
  <r>
    <n v="918"/>
    <d v="2025-10-29T00:00:00"/>
    <x v="5"/>
    <x v="0"/>
    <n v="12"/>
    <n v="25000"/>
    <n v="300000"/>
    <n v="81293"/>
    <x v="1"/>
    <n v="7"/>
    <x v="1"/>
    <n v="4"/>
    <x v="0"/>
    <n v="0"/>
    <n v="1"/>
  </r>
  <r>
    <n v="974"/>
    <d v="2025-03-13T00:00:00"/>
    <x v="0"/>
    <x v="0"/>
    <n v="12"/>
    <n v="25000"/>
    <n v="300000"/>
    <n v="83064"/>
    <x v="0"/>
    <n v="6"/>
    <x v="1"/>
    <n v="2"/>
    <x v="1"/>
    <n v="1"/>
    <n v="1"/>
  </r>
  <r>
    <n v="251"/>
    <d v="2025-04-06T00:00:00"/>
    <x v="6"/>
    <x v="1"/>
    <n v="13"/>
    <n v="22000"/>
    <n v="286000"/>
    <n v="59647"/>
    <x v="1"/>
    <n v="9"/>
    <x v="1"/>
    <n v="1"/>
    <x v="0"/>
    <n v="0"/>
    <n v="1"/>
  </r>
  <r>
    <n v="390"/>
    <d v="2024-12-13T00:00:00"/>
    <x v="6"/>
    <x v="1"/>
    <n v="13"/>
    <n v="22000"/>
    <n v="286000"/>
    <n v="70883"/>
    <x v="1"/>
    <n v="3"/>
    <x v="1"/>
    <n v="8"/>
    <x v="0"/>
    <n v="0"/>
    <n v="1"/>
  </r>
  <r>
    <n v="104"/>
    <d v="2025-06-20T00:00:00"/>
    <x v="0"/>
    <x v="2"/>
    <n v="14"/>
    <n v="20000"/>
    <n v="280000"/>
    <n v="46834"/>
    <x v="1"/>
    <n v="7"/>
    <x v="1"/>
    <n v="1"/>
    <x v="0"/>
    <n v="0"/>
    <n v="1"/>
  </r>
  <r>
    <n v="299"/>
    <d v="2024-11-05T00:00:00"/>
    <x v="3"/>
    <x v="2"/>
    <n v="14"/>
    <n v="20000"/>
    <n v="280000"/>
    <n v="47259"/>
    <x v="1"/>
    <n v="7"/>
    <x v="0"/>
    <n v="3"/>
    <x v="0"/>
    <n v="0"/>
    <n v="0"/>
  </r>
  <r>
    <n v="70"/>
    <d v="2024-12-25T00:00:00"/>
    <x v="3"/>
    <x v="0"/>
    <n v="11"/>
    <n v="25000"/>
    <n v="275000"/>
    <n v="81124"/>
    <x v="0"/>
    <n v="7"/>
    <x v="1"/>
    <n v="1"/>
    <x v="1"/>
    <n v="1"/>
    <n v="1"/>
  </r>
  <r>
    <n v="314"/>
    <d v="2024-04-25T00:00:00"/>
    <x v="0"/>
    <x v="0"/>
    <n v="11"/>
    <n v="25000"/>
    <n v="275000"/>
    <n v="44843"/>
    <x v="1"/>
    <n v="6"/>
    <x v="0"/>
    <n v="3"/>
    <x v="0"/>
    <n v="0"/>
    <n v="0"/>
  </r>
  <r>
    <n v="909"/>
    <d v="2025-03-01T00:00:00"/>
    <x v="6"/>
    <x v="0"/>
    <n v="11"/>
    <n v="25000"/>
    <n v="275000"/>
    <n v="73278"/>
    <x v="1"/>
    <n v="9"/>
    <x v="1"/>
    <n v="2"/>
    <x v="0"/>
    <n v="0"/>
    <n v="1"/>
  </r>
  <r>
    <n v="924"/>
    <d v="2024-10-18T00:00:00"/>
    <x v="2"/>
    <x v="0"/>
    <n v="11"/>
    <n v="25000"/>
    <n v="275000"/>
    <n v="48308"/>
    <x v="1"/>
    <n v="7"/>
    <x v="0"/>
    <n v="1"/>
    <x v="0"/>
    <n v="0"/>
    <n v="0"/>
  </r>
  <r>
    <n v="290"/>
    <d v="2025-03-03T00:00:00"/>
    <x v="2"/>
    <x v="1"/>
    <n v="12"/>
    <n v="22000"/>
    <n v="264000"/>
    <n v="69546"/>
    <x v="1"/>
    <n v="4"/>
    <x v="0"/>
    <n v="4"/>
    <x v="0"/>
    <n v="0"/>
    <n v="0"/>
  </r>
  <r>
    <n v="323"/>
    <d v="2024-11-18T00:00:00"/>
    <x v="5"/>
    <x v="1"/>
    <n v="12"/>
    <n v="22000"/>
    <n v="264000"/>
    <n v="50398"/>
    <x v="0"/>
    <n v="9"/>
    <x v="1"/>
    <n v="1"/>
    <x v="1"/>
    <n v="1"/>
    <n v="1"/>
  </r>
  <r>
    <n v="342"/>
    <d v="2024-10-28T00:00:00"/>
    <x v="0"/>
    <x v="1"/>
    <n v="12"/>
    <n v="22000"/>
    <n v="264000"/>
    <n v="71629"/>
    <x v="1"/>
    <n v="8"/>
    <x v="1"/>
    <n v="2"/>
    <x v="0"/>
    <n v="0"/>
    <n v="1"/>
  </r>
  <r>
    <n v="358"/>
    <d v="2025-12-29T00:00:00"/>
    <x v="6"/>
    <x v="1"/>
    <n v="12"/>
    <n v="22000"/>
    <n v="264000"/>
    <n v="63520"/>
    <x v="0"/>
    <n v="5"/>
    <x v="1"/>
    <n v="4"/>
    <x v="0"/>
    <n v="1"/>
    <n v="1"/>
  </r>
  <r>
    <n v="362"/>
    <d v="2024-08-17T00:00:00"/>
    <x v="0"/>
    <x v="1"/>
    <n v="12"/>
    <n v="22000"/>
    <n v="264000"/>
    <n v="47490"/>
    <x v="1"/>
    <n v="8"/>
    <x v="1"/>
    <n v="1"/>
    <x v="0"/>
    <n v="0"/>
    <n v="1"/>
  </r>
  <r>
    <n v="438"/>
    <d v="2025-09-09T00:00:00"/>
    <x v="3"/>
    <x v="1"/>
    <n v="12"/>
    <n v="22000"/>
    <n v="264000"/>
    <n v="76689"/>
    <x v="1"/>
    <n v="7"/>
    <x v="0"/>
    <n v="2"/>
    <x v="0"/>
    <n v="0"/>
    <n v="0"/>
  </r>
  <r>
    <n v="818"/>
    <d v="2025-06-13T00:00:00"/>
    <x v="4"/>
    <x v="1"/>
    <n v="12"/>
    <n v="22000"/>
    <n v="264000"/>
    <n v="54588"/>
    <x v="1"/>
    <n v="5"/>
    <x v="0"/>
    <n v="5"/>
    <x v="0"/>
    <n v="0"/>
    <n v="0"/>
  </r>
  <r>
    <n v="898"/>
    <d v="2025-06-05T00:00:00"/>
    <x v="4"/>
    <x v="1"/>
    <n v="12"/>
    <n v="22000"/>
    <n v="264000"/>
    <n v="72430"/>
    <x v="1"/>
    <n v="7"/>
    <x v="1"/>
    <n v="4"/>
    <x v="0"/>
    <n v="0"/>
    <n v="1"/>
  </r>
  <r>
    <n v="329"/>
    <d v="2025-05-22T00:00:00"/>
    <x v="1"/>
    <x v="2"/>
    <n v="13"/>
    <n v="20000"/>
    <n v="260000"/>
    <n v="76831"/>
    <x v="0"/>
    <n v="3"/>
    <x v="0"/>
    <n v="7"/>
    <x v="1"/>
    <n v="1"/>
    <n v="0"/>
  </r>
  <r>
    <n v="475"/>
    <d v="2024-04-19T00:00:00"/>
    <x v="1"/>
    <x v="2"/>
    <n v="13"/>
    <n v="20000"/>
    <n v="260000"/>
    <n v="74807"/>
    <x v="1"/>
    <n v="8"/>
    <x v="1"/>
    <n v="1"/>
    <x v="0"/>
    <n v="0"/>
    <n v="1"/>
  </r>
  <r>
    <n v="873"/>
    <d v="2025-10-31T00:00:00"/>
    <x v="0"/>
    <x v="2"/>
    <n v="13"/>
    <n v="20000"/>
    <n v="260000"/>
    <n v="44734"/>
    <x v="1"/>
    <n v="3"/>
    <x v="0"/>
    <n v="6"/>
    <x v="0"/>
    <n v="0"/>
    <n v="0"/>
  </r>
  <r>
    <n v="41"/>
    <d v="2025-05-05T00:00:00"/>
    <x v="0"/>
    <x v="3"/>
    <n v="14"/>
    <n v="18000"/>
    <n v="252000"/>
    <n v="45100"/>
    <x v="0"/>
    <n v="4"/>
    <x v="0"/>
    <n v="7"/>
    <x v="0"/>
    <n v="1"/>
    <n v="0"/>
  </r>
  <r>
    <n v="543"/>
    <d v="2025-06-10T00:00:00"/>
    <x v="0"/>
    <x v="3"/>
    <n v="14"/>
    <n v="18000"/>
    <n v="252000"/>
    <n v="52482"/>
    <x v="1"/>
    <n v="3"/>
    <x v="1"/>
    <n v="6"/>
    <x v="0"/>
    <n v="0"/>
    <n v="1"/>
  </r>
  <r>
    <n v="241"/>
    <d v="2025-12-06T00:00:00"/>
    <x v="4"/>
    <x v="0"/>
    <n v="10"/>
    <n v="25000"/>
    <n v="250000"/>
    <n v="52683"/>
    <x v="1"/>
    <n v="5"/>
    <x v="1"/>
    <n v="4"/>
    <x v="0"/>
    <n v="0"/>
    <n v="1"/>
  </r>
  <r>
    <n v="11"/>
    <d v="2024-11-11T00:00:00"/>
    <x v="1"/>
    <x v="2"/>
    <n v="12"/>
    <n v="20000"/>
    <n v="240000"/>
    <n v="65071"/>
    <x v="0"/>
    <n v="4"/>
    <x v="0"/>
    <n v="5"/>
    <x v="0"/>
    <n v="1"/>
    <n v="0"/>
  </r>
  <r>
    <n v="417"/>
    <d v="2024-08-12T00:00:00"/>
    <x v="2"/>
    <x v="2"/>
    <n v="12"/>
    <n v="20000"/>
    <n v="240000"/>
    <n v="71809"/>
    <x v="1"/>
    <n v="7"/>
    <x v="1"/>
    <n v="2"/>
    <x v="0"/>
    <n v="0"/>
    <n v="1"/>
  </r>
  <r>
    <n v="982"/>
    <d v="2024-10-30T00:00:00"/>
    <x v="0"/>
    <x v="2"/>
    <n v="12"/>
    <n v="20000"/>
    <n v="240000"/>
    <n v="62708"/>
    <x v="1"/>
    <n v="7"/>
    <x v="1"/>
    <n v="3"/>
    <x v="0"/>
    <n v="0"/>
    <n v="1"/>
  </r>
  <r>
    <n v="369"/>
    <d v="2025-02-10T00:00:00"/>
    <x v="2"/>
    <x v="3"/>
    <n v="13"/>
    <n v="18000"/>
    <n v="234000"/>
    <n v="41361"/>
    <x v="1"/>
    <n v="9"/>
    <x v="1"/>
    <n v="2"/>
    <x v="0"/>
    <n v="0"/>
    <n v="1"/>
  </r>
  <r>
    <n v="407"/>
    <d v="2025-01-26T00:00:00"/>
    <x v="1"/>
    <x v="3"/>
    <n v="13"/>
    <n v="18000"/>
    <n v="234000"/>
    <n v="63853"/>
    <x v="1"/>
    <n v="5"/>
    <x v="1"/>
    <n v="3"/>
    <x v="0"/>
    <n v="0"/>
    <n v="1"/>
  </r>
  <r>
    <n v="600"/>
    <d v="2025-04-12T00:00:00"/>
    <x v="4"/>
    <x v="3"/>
    <n v="13"/>
    <n v="18000"/>
    <n v="234000"/>
    <n v="39922"/>
    <x v="1"/>
    <n v="9"/>
    <x v="1"/>
    <n v="1"/>
    <x v="0"/>
    <n v="0"/>
    <n v="1"/>
  </r>
  <r>
    <n v="893"/>
    <d v="2025-10-02T00:00:00"/>
    <x v="6"/>
    <x v="3"/>
    <n v="13"/>
    <n v="18000"/>
    <n v="234000"/>
    <n v="48245"/>
    <x v="0"/>
    <n v="8"/>
    <x v="1"/>
    <n v="3"/>
    <x v="1"/>
    <n v="1"/>
    <n v="1"/>
  </r>
  <r>
    <n v="955"/>
    <d v="2025-03-26T00:00:00"/>
    <x v="0"/>
    <x v="3"/>
    <n v="13"/>
    <n v="18000"/>
    <n v="234000"/>
    <n v="57218"/>
    <x v="1"/>
    <n v="6"/>
    <x v="0"/>
    <n v="5"/>
    <x v="0"/>
    <n v="0"/>
    <n v="0"/>
  </r>
  <r>
    <n v="285"/>
    <d v="2025-03-14T00:00:00"/>
    <x v="6"/>
    <x v="1"/>
    <n v="10"/>
    <n v="22000"/>
    <n v="220000"/>
    <n v="53654"/>
    <x v="0"/>
    <n v="5"/>
    <x v="1"/>
    <n v="3"/>
    <x v="0"/>
    <n v="1"/>
    <n v="1"/>
  </r>
  <r>
    <n v="508"/>
    <d v="2025-08-02T00:00:00"/>
    <x v="6"/>
    <x v="1"/>
    <n v="10"/>
    <n v="22000"/>
    <n v="220000"/>
    <n v="51756"/>
    <x v="0"/>
    <n v="5"/>
    <x v="1"/>
    <n v="4"/>
    <x v="0"/>
    <n v="1"/>
    <n v="1"/>
  </r>
  <r>
    <n v="523"/>
    <d v="2025-10-18T00:00:00"/>
    <x v="6"/>
    <x v="1"/>
    <n v="10"/>
    <n v="22000"/>
    <n v="220000"/>
    <n v="37899"/>
    <x v="0"/>
    <n v="8"/>
    <x v="1"/>
    <n v="1"/>
    <x v="0"/>
    <n v="1"/>
    <n v="1"/>
  </r>
  <r>
    <n v="601"/>
    <d v="2025-05-15T00:00:00"/>
    <x v="5"/>
    <x v="1"/>
    <n v="10"/>
    <n v="22000"/>
    <n v="220000"/>
    <n v="55015"/>
    <x v="1"/>
    <n v="5"/>
    <x v="0"/>
    <n v="5"/>
    <x v="0"/>
    <n v="0"/>
    <n v="0"/>
  </r>
  <r>
    <n v="612"/>
    <d v="2025-12-11T00:00:00"/>
    <x v="5"/>
    <x v="2"/>
    <n v="11"/>
    <n v="20000"/>
    <n v="220000"/>
    <n v="58610"/>
    <x v="1"/>
    <n v="6"/>
    <x v="1"/>
    <n v="2"/>
    <x v="0"/>
    <n v="0"/>
    <n v="1"/>
  </r>
  <r>
    <n v="724"/>
    <d v="2025-02-26T00:00:00"/>
    <x v="3"/>
    <x v="1"/>
    <n v="10"/>
    <n v="22000"/>
    <n v="220000"/>
    <n v="50019"/>
    <x v="1"/>
    <n v="8"/>
    <x v="1"/>
    <n v="2"/>
    <x v="1"/>
    <n v="0"/>
    <n v="1"/>
  </r>
  <r>
    <n v="792"/>
    <d v="2024-03-22T00:00:00"/>
    <x v="6"/>
    <x v="1"/>
    <n v="10"/>
    <n v="22000"/>
    <n v="220000"/>
    <n v="51935"/>
    <x v="1"/>
    <n v="3"/>
    <x v="0"/>
    <n v="7"/>
    <x v="0"/>
    <n v="0"/>
    <n v="0"/>
  </r>
  <r>
    <n v="797"/>
    <d v="2024-06-09T00:00:00"/>
    <x v="3"/>
    <x v="1"/>
    <n v="10"/>
    <n v="22000"/>
    <n v="220000"/>
    <n v="63518"/>
    <x v="1"/>
    <n v="7"/>
    <x v="1"/>
    <n v="4"/>
    <x v="0"/>
    <n v="0"/>
    <n v="1"/>
  </r>
  <r>
    <n v="156"/>
    <d v="2024-08-19T00:00:00"/>
    <x v="0"/>
    <x v="3"/>
    <n v="12"/>
    <n v="18000"/>
    <n v="216000"/>
    <n v="60312"/>
    <x v="0"/>
    <n v="8"/>
    <x v="1"/>
    <n v="1"/>
    <x v="0"/>
    <n v="1"/>
    <n v="1"/>
  </r>
  <r>
    <n v="556"/>
    <d v="2024-01-05T00:00:00"/>
    <x v="4"/>
    <x v="3"/>
    <n v="12"/>
    <n v="18000"/>
    <n v="216000"/>
    <n v="38443"/>
    <x v="1"/>
    <n v="8"/>
    <x v="1"/>
    <n v="2"/>
    <x v="0"/>
    <n v="0"/>
    <n v="1"/>
  </r>
  <r>
    <n v="621"/>
    <d v="2024-01-28T00:00:00"/>
    <x v="3"/>
    <x v="3"/>
    <n v="12"/>
    <n v="18000"/>
    <n v="216000"/>
    <n v="51034"/>
    <x v="0"/>
    <n v="5"/>
    <x v="1"/>
    <n v="4"/>
    <x v="0"/>
    <n v="1"/>
    <n v="1"/>
  </r>
  <r>
    <n v="874"/>
    <d v="2025-12-22T00:00:00"/>
    <x v="5"/>
    <x v="3"/>
    <n v="12"/>
    <n v="18000"/>
    <n v="216000"/>
    <n v="56895"/>
    <x v="0"/>
    <n v="4"/>
    <x v="0"/>
    <n v="6"/>
    <x v="1"/>
    <n v="1"/>
    <n v="0"/>
  </r>
  <r>
    <n v="989"/>
    <d v="2024-03-17T00:00:00"/>
    <x v="3"/>
    <x v="3"/>
    <n v="12"/>
    <n v="18000"/>
    <n v="216000"/>
    <n v="47025"/>
    <x v="0"/>
    <n v="6"/>
    <x v="0"/>
    <n v="2"/>
    <x v="0"/>
    <n v="1"/>
    <n v="0"/>
  </r>
  <r>
    <n v="46"/>
    <d v="2025-06-02T00:00:00"/>
    <x v="0"/>
    <x v="4"/>
    <n v="14"/>
    <n v="15000"/>
    <n v="210000"/>
    <n v="58968"/>
    <x v="1"/>
    <n v="7"/>
    <x v="1"/>
    <n v="1"/>
    <x v="0"/>
    <n v="0"/>
    <n v="1"/>
  </r>
  <r>
    <n v="495"/>
    <d v="2024-01-17T00:00:00"/>
    <x v="1"/>
    <x v="4"/>
    <n v="14"/>
    <n v="15000"/>
    <n v="210000"/>
    <n v="46152"/>
    <x v="1"/>
    <n v="5"/>
    <x v="0"/>
    <n v="5"/>
    <x v="0"/>
    <n v="0"/>
    <n v="0"/>
  </r>
  <r>
    <n v="750"/>
    <d v="2024-05-17T00:00:00"/>
    <x v="5"/>
    <x v="4"/>
    <n v="14"/>
    <n v="15000"/>
    <n v="210000"/>
    <n v="51886"/>
    <x v="0"/>
    <n v="9"/>
    <x v="1"/>
    <n v="1"/>
    <x v="0"/>
    <n v="1"/>
    <n v="1"/>
  </r>
  <r>
    <n v="138"/>
    <d v="2025-09-09T00:00:00"/>
    <x v="0"/>
    <x v="0"/>
    <n v="8"/>
    <n v="25000"/>
    <n v="200000"/>
    <n v="57274"/>
    <x v="1"/>
    <n v="4"/>
    <x v="0"/>
    <n v="5"/>
    <x v="0"/>
    <n v="0"/>
    <n v="0"/>
  </r>
  <r>
    <n v="179"/>
    <d v="2025-01-19T00:00:00"/>
    <x v="3"/>
    <x v="0"/>
    <n v="8"/>
    <n v="25000"/>
    <n v="200000"/>
    <n v="35102"/>
    <x v="0"/>
    <n v="3"/>
    <x v="0"/>
    <n v="7"/>
    <x v="0"/>
    <n v="1"/>
    <n v="0"/>
  </r>
  <r>
    <n v="190"/>
    <d v="2024-04-10T00:00:00"/>
    <x v="6"/>
    <x v="2"/>
    <n v="10"/>
    <n v="20000"/>
    <n v="200000"/>
    <n v="31245"/>
    <x v="0"/>
    <n v="4"/>
    <x v="0"/>
    <n v="7"/>
    <x v="0"/>
    <n v="1"/>
    <n v="0"/>
  </r>
  <r>
    <n v="293"/>
    <d v="2025-10-30T00:00:00"/>
    <x v="6"/>
    <x v="0"/>
    <n v="8"/>
    <n v="25000"/>
    <n v="200000"/>
    <n v="39766"/>
    <x v="0"/>
    <n v="6"/>
    <x v="1"/>
    <n v="4"/>
    <x v="0"/>
    <n v="1"/>
    <n v="1"/>
  </r>
  <r>
    <n v="383"/>
    <d v="2025-11-20T00:00:00"/>
    <x v="0"/>
    <x v="0"/>
    <n v="8"/>
    <n v="25000"/>
    <n v="200000"/>
    <n v="36457"/>
    <x v="0"/>
    <n v="4"/>
    <x v="0"/>
    <n v="7"/>
    <x v="0"/>
    <n v="1"/>
    <n v="0"/>
  </r>
  <r>
    <n v="540"/>
    <d v="2024-11-22T00:00:00"/>
    <x v="6"/>
    <x v="0"/>
    <n v="8"/>
    <n v="25000"/>
    <n v="200000"/>
    <n v="53360"/>
    <x v="0"/>
    <n v="3"/>
    <x v="0"/>
    <n v="6"/>
    <x v="0"/>
    <n v="1"/>
    <n v="0"/>
  </r>
  <r>
    <n v="629"/>
    <d v="2024-03-14T00:00:00"/>
    <x v="1"/>
    <x v="0"/>
    <n v="8"/>
    <n v="25000"/>
    <n v="200000"/>
    <n v="51266"/>
    <x v="1"/>
    <n v="8"/>
    <x v="1"/>
    <n v="1"/>
    <x v="1"/>
    <n v="0"/>
    <n v="1"/>
  </r>
  <r>
    <n v="993"/>
    <d v="2025-02-09T00:00:00"/>
    <x v="2"/>
    <x v="0"/>
    <n v="8"/>
    <n v="25000"/>
    <n v="200000"/>
    <n v="40811"/>
    <x v="0"/>
    <n v="2"/>
    <x v="0"/>
    <n v="7"/>
    <x v="0"/>
    <n v="1"/>
    <n v="0"/>
  </r>
  <r>
    <n v="743"/>
    <d v="2025-01-05T00:00:00"/>
    <x v="4"/>
    <x v="1"/>
    <n v="9"/>
    <n v="22000"/>
    <n v="198000"/>
    <n v="39075"/>
    <x v="1"/>
    <n v="7"/>
    <x v="1"/>
    <n v="3"/>
    <x v="1"/>
    <n v="0"/>
    <n v="1"/>
  </r>
  <r>
    <n v="973"/>
    <d v="2025-01-12T00:00:00"/>
    <x v="1"/>
    <x v="3"/>
    <n v="11"/>
    <n v="18000"/>
    <n v="198000"/>
    <n v="43926"/>
    <x v="1"/>
    <n v="9"/>
    <x v="1"/>
    <n v="1"/>
    <x v="0"/>
    <n v="0"/>
    <n v="1"/>
  </r>
  <r>
    <n v="126"/>
    <d v="2024-09-25T00:00:00"/>
    <x v="3"/>
    <x v="5"/>
    <n v="14"/>
    <n v="14000"/>
    <n v="196000"/>
    <n v="38773"/>
    <x v="1"/>
    <n v="7"/>
    <x v="1"/>
    <n v="4"/>
    <x v="0"/>
    <n v="0"/>
    <n v="1"/>
  </r>
  <r>
    <n v="164"/>
    <d v="2025-05-24T00:00:00"/>
    <x v="2"/>
    <x v="5"/>
    <n v="14"/>
    <n v="14000"/>
    <n v="196000"/>
    <n v="36559"/>
    <x v="1"/>
    <n v="4"/>
    <x v="0"/>
    <n v="6"/>
    <x v="0"/>
    <n v="0"/>
    <n v="0"/>
  </r>
  <r>
    <n v="148"/>
    <d v="2025-06-24T00:00:00"/>
    <x v="4"/>
    <x v="4"/>
    <n v="13"/>
    <n v="15000"/>
    <n v="195000"/>
    <n v="56867"/>
    <x v="1"/>
    <n v="8"/>
    <x v="0"/>
    <n v="2"/>
    <x v="0"/>
    <n v="0"/>
    <n v="0"/>
  </r>
  <r>
    <n v="289"/>
    <d v="2025-06-25T00:00:00"/>
    <x v="4"/>
    <x v="4"/>
    <n v="13"/>
    <n v="15000"/>
    <n v="195000"/>
    <n v="48081"/>
    <x v="0"/>
    <n v="6"/>
    <x v="0"/>
    <n v="3"/>
    <x v="0"/>
    <n v="1"/>
    <n v="0"/>
  </r>
  <r>
    <n v="308"/>
    <d v="2024-12-06T00:00:00"/>
    <x v="1"/>
    <x v="4"/>
    <n v="13"/>
    <n v="15000"/>
    <n v="195000"/>
    <n v="55085"/>
    <x v="1"/>
    <n v="9"/>
    <x v="1"/>
    <n v="1"/>
    <x v="1"/>
    <n v="0"/>
    <n v="1"/>
  </r>
  <r>
    <n v="318"/>
    <d v="2024-12-24T00:00:00"/>
    <x v="0"/>
    <x v="4"/>
    <n v="13"/>
    <n v="15000"/>
    <n v="195000"/>
    <n v="53707"/>
    <x v="0"/>
    <n v="8"/>
    <x v="0"/>
    <n v="1"/>
    <x v="0"/>
    <n v="1"/>
    <n v="0"/>
  </r>
  <r>
    <n v="774"/>
    <d v="2025-03-13T00:00:00"/>
    <x v="5"/>
    <x v="4"/>
    <n v="13"/>
    <n v="15000"/>
    <n v="195000"/>
    <n v="32909"/>
    <x v="1"/>
    <n v="5"/>
    <x v="1"/>
    <n v="4"/>
    <x v="0"/>
    <n v="0"/>
    <n v="1"/>
  </r>
  <r>
    <n v="788"/>
    <d v="2024-08-26T00:00:00"/>
    <x v="0"/>
    <x v="4"/>
    <n v="13"/>
    <n v="15000"/>
    <n v="195000"/>
    <n v="29320"/>
    <x v="0"/>
    <n v="9"/>
    <x v="1"/>
    <n v="1"/>
    <x v="1"/>
    <n v="1"/>
    <n v="1"/>
  </r>
  <r>
    <n v="178"/>
    <d v="2024-02-29T00:00:00"/>
    <x v="4"/>
    <x v="5"/>
    <n v="13"/>
    <n v="14000"/>
    <n v="182000"/>
    <n v="40668"/>
    <x v="0"/>
    <n v="6"/>
    <x v="1"/>
    <n v="2"/>
    <x v="0"/>
    <n v="1"/>
    <n v="1"/>
  </r>
  <r>
    <n v="382"/>
    <d v="2025-05-23T00:00:00"/>
    <x v="5"/>
    <x v="5"/>
    <n v="13"/>
    <n v="14000"/>
    <n v="182000"/>
    <n v="30638"/>
    <x v="0"/>
    <n v="6"/>
    <x v="1"/>
    <n v="4"/>
    <x v="0"/>
    <n v="1"/>
    <n v="1"/>
  </r>
  <r>
    <n v="472"/>
    <d v="2024-11-08T00:00:00"/>
    <x v="5"/>
    <x v="5"/>
    <n v="13"/>
    <n v="14000"/>
    <n v="182000"/>
    <n v="40366"/>
    <x v="1"/>
    <n v="4"/>
    <x v="1"/>
    <n v="4"/>
    <x v="0"/>
    <n v="0"/>
    <n v="1"/>
  </r>
  <r>
    <n v="848"/>
    <d v="2025-09-22T00:00:00"/>
    <x v="4"/>
    <x v="5"/>
    <n v="13"/>
    <n v="14000"/>
    <n v="182000"/>
    <n v="29563"/>
    <x v="1"/>
    <n v="8"/>
    <x v="0"/>
    <n v="2"/>
    <x v="1"/>
    <n v="0"/>
    <n v="0"/>
  </r>
  <r>
    <n v="224"/>
    <d v="2024-06-16T00:00:00"/>
    <x v="4"/>
    <x v="4"/>
    <n v="12"/>
    <n v="15000"/>
    <n v="180000"/>
    <n v="27524"/>
    <x v="0"/>
    <n v="8"/>
    <x v="1"/>
    <n v="1"/>
    <x v="0"/>
    <n v="1"/>
    <n v="1"/>
  </r>
  <r>
    <n v="366"/>
    <d v="2025-10-13T00:00:00"/>
    <x v="5"/>
    <x v="4"/>
    <n v="12"/>
    <n v="15000"/>
    <n v="180000"/>
    <n v="28641"/>
    <x v="0"/>
    <n v="5"/>
    <x v="0"/>
    <n v="3"/>
    <x v="1"/>
    <n v="1"/>
    <n v="0"/>
  </r>
  <r>
    <n v="490"/>
    <d v="2024-01-17T00:00:00"/>
    <x v="6"/>
    <x v="3"/>
    <n v="10"/>
    <n v="18000"/>
    <n v="180000"/>
    <n v="46064"/>
    <x v="0"/>
    <n v="6"/>
    <x v="0"/>
    <n v="5"/>
    <x v="0"/>
    <n v="1"/>
    <n v="0"/>
  </r>
  <r>
    <n v="611"/>
    <d v="2025-07-29T00:00:00"/>
    <x v="2"/>
    <x v="2"/>
    <n v="9"/>
    <n v="20000"/>
    <n v="180000"/>
    <n v="37516"/>
    <x v="0"/>
    <n v="5"/>
    <x v="1"/>
    <n v="4"/>
    <x v="0"/>
    <n v="1"/>
    <n v="1"/>
  </r>
  <r>
    <n v="803"/>
    <d v="2025-08-08T00:00:00"/>
    <x v="1"/>
    <x v="4"/>
    <n v="12"/>
    <n v="15000"/>
    <n v="180000"/>
    <n v="44887"/>
    <x v="0"/>
    <n v="7"/>
    <x v="1"/>
    <n v="3"/>
    <x v="0"/>
    <n v="1"/>
    <n v="1"/>
  </r>
  <r>
    <n v="844"/>
    <d v="2024-04-03T00:00:00"/>
    <x v="2"/>
    <x v="3"/>
    <n v="10"/>
    <n v="18000"/>
    <n v="180000"/>
    <n v="44171"/>
    <x v="1"/>
    <n v="5"/>
    <x v="0"/>
    <n v="6"/>
    <x v="1"/>
    <n v="0"/>
    <n v="0"/>
  </r>
  <r>
    <n v="277"/>
    <d v="2025-09-18T00:00:00"/>
    <x v="3"/>
    <x v="1"/>
    <n v="8"/>
    <n v="22000"/>
    <n v="176000"/>
    <n v="34662"/>
    <x v="0"/>
    <n v="3"/>
    <x v="0"/>
    <n v="6"/>
    <x v="0"/>
    <n v="1"/>
    <n v="0"/>
  </r>
  <r>
    <n v="799"/>
    <d v="2024-10-14T00:00:00"/>
    <x v="3"/>
    <x v="1"/>
    <n v="8"/>
    <n v="22000"/>
    <n v="176000"/>
    <n v="40524"/>
    <x v="0"/>
    <n v="2"/>
    <x v="0"/>
    <n v="6"/>
    <x v="1"/>
    <n v="1"/>
    <n v="0"/>
  </r>
  <r>
    <n v="129"/>
    <d v="2025-12-30T00:00:00"/>
    <x v="1"/>
    <x v="0"/>
    <n v="7"/>
    <n v="25000"/>
    <n v="175000"/>
    <n v="51871"/>
    <x v="1"/>
    <n v="7"/>
    <x v="1"/>
    <n v="3"/>
    <x v="0"/>
    <n v="0"/>
    <n v="1"/>
  </r>
  <r>
    <n v="681"/>
    <d v="2025-01-08T00:00:00"/>
    <x v="2"/>
    <x v="0"/>
    <n v="7"/>
    <n v="25000"/>
    <n v="175000"/>
    <n v="44606"/>
    <x v="1"/>
    <n v="5"/>
    <x v="1"/>
    <n v="3"/>
    <x v="0"/>
    <n v="0"/>
    <n v="1"/>
  </r>
  <r>
    <n v="923"/>
    <d v="2025-05-11T00:00:00"/>
    <x v="5"/>
    <x v="0"/>
    <n v="7"/>
    <n v="25000"/>
    <n v="175000"/>
    <n v="26633"/>
    <x v="0"/>
    <n v="7"/>
    <x v="1"/>
    <n v="2"/>
    <x v="0"/>
    <n v="1"/>
    <n v="1"/>
  </r>
  <r>
    <n v="476"/>
    <d v="2024-11-29T00:00:00"/>
    <x v="2"/>
    <x v="6"/>
    <n v="14"/>
    <n v="12000"/>
    <n v="168000"/>
    <n v="50008"/>
    <x v="1"/>
    <n v="4"/>
    <x v="0"/>
    <n v="6"/>
    <x v="0"/>
    <n v="0"/>
    <n v="0"/>
  </r>
  <r>
    <n v="564"/>
    <d v="2024-12-01T00:00:00"/>
    <x v="2"/>
    <x v="7"/>
    <n v="14"/>
    <n v="12000"/>
    <n v="168000"/>
    <n v="27737"/>
    <x v="1"/>
    <n v="3"/>
    <x v="0"/>
    <n v="6"/>
    <x v="0"/>
    <n v="0"/>
    <n v="0"/>
  </r>
  <r>
    <n v="845"/>
    <d v="2025-11-19T00:00:00"/>
    <x v="5"/>
    <x v="6"/>
    <n v="14"/>
    <n v="12000"/>
    <n v="168000"/>
    <n v="42697"/>
    <x v="1"/>
    <n v="6"/>
    <x v="0"/>
    <n v="5"/>
    <x v="1"/>
    <n v="0"/>
    <n v="0"/>
  </r>
  <r>
    <n v="891"/>
    <d v="2024-08-31T00:00:00"/>
    <x v="4"/>
    <x v="7"/>
    <n v="14"/>
    <n v="12000"/>
    <n v="168000"/>
    <n v="40319"/>
    <x v="1"/>
    <n v="5"/>
    <x v="0"/>
    <n v="6"/>
    <x v="0"/>
    <n v="0"/>
    <n v="0"/>
  </r>
  <r>
    <n v="19"/>
    <d v="2025-01-21T00:00:00"/>
    <x v="3"/>
    <x v="4"/>
    <n v="11"/>
    <n v="15000"/>
    <n v="165000"/>
    <n v="46355"/>
    <x v="1"/>
    <n v="7"/>
    <x v="1"/>
    <n v="4"/>
    <x v="1"/>
    <n v="0"/>
    <n v="1"/>
  </r>
  <r>
    <n v="287"/>
    <d v="2025-04-03T00:00:00"/>
    <x v="2"/>
    <x v="4"/>
    <n v="11"/>
    <n v="15000"/>
    <n v="165000"/>
    <n v="46537"/>
    <x v="1"/>
    <n v="9"/>
    <x v="1"/>
    <n v="1"/>
    <x v="0"/>
    <n v="0"/>
    <n v="1"/>
  </r>
  <r>
    <n v="346"/>
    <d v="2025-01-12T00:00:00"/>
    <x v="6"/>
    <x v="4"/>
    <n v="11"/>
    <n v="15000"/>
    <n v="165000"/>
    <n v="34446"/>
    <x v="0"/>
    <n v="4"/>
    <x v="1"/>
    <n v="5"/>
    <x v="0"/>
    <n v="1"/>
    <n v="1"/>
  </r>
  <r>
    <n v="899"/>
    <d v="2024-08-10T00:00:00"/>
    <x v="6"/>
    <x v="4"/>
    <n v="11"/>
    <n v="15000"/>
    <n v="165000"/>
    <n v="40761"/>
    <x v="1"/>
    <n v="7"/>
    <x v="1"/>
    <n v="2"/>
    <x v="0"/>
    <n v="0"/>
    <n v="1"/>
  </r>
  <r>
    <n v="240"/>
    <d v="2025-03-16T00:00:00"/>
    <x v="2"/>
    <x v="3"/>
    <n v="9"/>
    <n v="18000"/>
    <n v="162000"/>
    <n v="41459"/>
    <x v="1"/>
    <n v="3"/>
    <x v="1"/>
    <n v="7"/>
    <x v="0"/>
    <n v="0"/>
    <n v="1"/>
  </r>
  <r>
    <n v="360"/>
    <d v="2025-10-21T00:00:00"/>
    <x v="1"/>
    <x v="3"/>
    <n v="9"/>
    <n v="18000"/>
    <n v="162000"/>
    <n v="44638"/>
    <x v="1"/>
    <n v="7"/>
    <x v="0"/>
    <n v="2"/>
    <x v="0"/>
    <n v="0"/>
    <n v="0"/>
  </r>
  <r>
    <n v="427"/>
    <d v="2025-09-27T00:00:00"/>
    <x v="0"/>
    <x v="3"/>
    <n v="9"/>
    <n v="18000"/>
    <n v="162000"/>
    <n v="39805"/>
    <x v="0"/>
    <n v="8"/>
    <x v="0"/>
    <n v="3"/>
    <x v="0"/>
    <n v="1"/>
    <n v="0"/>
  </r>
  <r>
    <n v="532"/>
    <d v="2024-05-10T00:00:00"/>
    <x v="6"/>
    <x v="2"/>
    <n v="8"/>
    <n v="20000"/>
    <n v="160000"/>
    <n v="25698"/>
    <x v="0"/>
    <n v="6"/>
    <x v="1"/>
    <n v="2"/>
    <x v="0"/>
    <n v="1"/>
    <n v="1"/>
  </r>
  <r>
    <n v="187"/>
    <d v="2024-11-19T00:00:00"/>
    <x v="2"/>
    <x v="6"/>
    <n v="13"/>
    <n v="12000"/>
    <n v="156000"/>
    <n v="28533"/>
    <x v="1"/>
    <n v="5"/>
    <x v="0"/>
    <n v="5"/>
    <x v="0"/>
    <n v="0"/>
    <n v="0"/>
  </r>
  <r>
    <n v="246"/>
    <d v="2024-11-18T00:00:00"/>
    <x v="2"/>
    <x v="6"/>
    <n v="13"/>
    <n v="12000"/>
    <n v="156000"/>
    <n v="36961"/>
    <x v="1"/>
    <n v="6"/>
    <x v="1"/>
    <n v="5"/>
    <x v="0"/>
    <n v="0"/>
    <n v="1"/>
  </r>
  <r>
    <n v="539"/>
    <d v="2025-04-27T00:00:00"/>
    <x v="3"/>
    <x v="6"/>
    <n v="13"/>
    <n v="12000"/>
    <n v="156000"/>
    <n v="23620"/>
    <x v="1"/>
    <n v="5"/>
    <x v="1"/>
    <n v="4"/>
    <x v="1"/>
    <n v="0"/>
    <n v="1"/>
  </r>
  <r>
    <n v="541"/>
    <d v="2025-03-28T00:00:00"/>
    <x v="1"/>
    <x v="7"/>
    <n v="13"/>
    <n v="12000"/>
    <n v="156000"/>
    <n v="24631"/>
    <x v="0"/>
    <n v="8"/>
    <x v="1"/>
    <n v="3"/>
    <x v="0"/>
    <n v="1"/>
    <n v="1"/>
  </r>
  <r>
    <n v="594"/>
    <d v="2024-11-19T00:00:00"/>
    <x v="2"/>
    <x v="6"/>
    <n v="13"/>
    <n v="12000"/>
    <n v="156000"/>
    <n v="23722"/>
    <x v="1"/>
    <n v="5"/>
    <x v="0"/>
    <n v="3"/>
    <x v="0"/>
    <n v="0"/>
    <n v="0"/>
  </r>
  <r>
    <n v="640"/>
    <d v="2025-07-14T00:00:00"/>
    <x v="3"/>
    <x v="6"/>
    <n v="13"/>
    <n v="12000"/>
    <n v="156000"/>
    <n v="44787"/>
    <x v="0"/>
    <n v="9"/>
    <x v="0"/>
    <n v="1"/>
    <x v="0"/>
    <n v="1"/>
    <n v="0"/>
  </r>
  <r>
    <n v="759"/>
    <d v="2025-05-15T00:00:00"/>
    <x v="0"/>
    <x v="7"/>
    <n v="13"/>
    <n v="12000"/>
    <n v="156000"/>
    <n v="24987"/>
    <x v="1"/>
    <n v="5"/>
    <x v="1"/>
    <n v="4"/>
    <x v="0"/>
    <n v="0"/>
    <n v="1"/>
  </r>
  <r>
    <n v="767"/>
    <d v="2024-04-16T00:00:00"/>
    <x v="5"/>
    <x v="7"/>
    <n v="13"/>
    <n v="12000"/>
    <n v="156000"/>
    <n v="39967"/>
    <x v="0"/>
    <n v="6"/>
    <x v="1"/>
    <n v="3"/>
    <x v="0"/>
    <n v="1"/>
    <n v="1"/>
  </r>
  <r>
    <n v="780"/>
    <d v="2024-04-08T00:00:00"/>
    <x v="3"/>
    <x v="6"/>
    <n v="13"/>
    <n v="12000"/>
    <n v="156000"/>
    <n v="43412"/>
    <x v="0"/>
    <n v="6"/>
    <x v="1"/>
    <n v="4"/>
    <x v="0"/>
    <n v="1"/>
    <n v="1"/>
  </r>
  <r>
    <n v="793"/>
    <d v="2025-09-10T00:00:00"/>
    <x v="3"/>
    <x v="7"/>
    <n v="13"/>
    <n v="12000"/>
    <n v="156000"/>
    <n v="42372"/>
    <x v="0"/>
    <n v="5"/>
    <x v="1"/>
    <n v="3"/>
    <x v="0"/>
    <n v="1"/>
    <n v="1"/>
  </r>
  <r>
    <n v="878"/>
    <d v="2024-02-05T00:00:00"/>
    <x v="4"/>
    <x v="8"/>
    <n v="13"/>
    <n v="12000"/>
    <n v="156000"/>
    <n v="46699"/>
    <x v="1"/>
    <n v="3"/>
    <x v="0"/>
    <n v="5"/>
    <x v="0"/>
    <n v="0"/>
    <n v="0"/>
  </r>
  <r>
    <n v="915"/>
    <d v="2025-01-19T00:00:00"/>
    <x v="0"/>
    <x v="7"/>
    <n v="13"/>
    <n v="12000"/>
    <n v="156000"/>
    <n v="32982"/>
    <x v="1"/>
    <n v="8"/>
    <x v="1"/>
    <n v="2"/>
    <x v="1"/>
    <n v="0"/>
    <n v="1"/>
  </r>
  <r>
    <n v="174"/>
    <d v="2025-10-12T00:00:00"/>
    <x v="6"/>
    <x v="5"/>
    <n v="11"/>
    <n v="14000"/>
    <n v="154000"/>
    <n v="32061"/>
    <x v="0"/>
    <n v="6"/>
    <x v="1"/>
    <n v="4"/>
    <x v="0"/>
    <n v="1"/>
    <n v="1"/>
  </r>
  <r>
    <n v="234"/>
    <d v="2024-11-27T00:00:00"/>
    <x v="1"/>
    <x v="5"/>
    <n v="11"/>
    <n v="14000"/>
    <n v="154000"/>
    <n v="44340"/>
    <x v="0"/>
    <n v="8"/>
    <x v="1"/>
    <n v="1"/>
    <x v="1"/>
    <n v="1"/>
    <n v="1"/>
  </r>
  <r>
    <n v="437"/>
    <d v="2024-11-13T00:00:00"/>
    <x v="5"/>
    <x v="1"/>
    <n v="7"/>
    <n v="22000"/>
    <n v="154000"/>
    <n v="35283"/>
    <x v="1"/>
    <n v="8"/>
    <x v="0"/>
    <n v="3"/>
    <x v="1"/>
    <n v="0"/>
    <n v="0"/>
  </r>
  <r>
    <n v="494"/>
    <d v="2025-03-22T00:00:00"/>
    <x v="2"/>
    <x v="1"/>
    <n v="7"/>
    <n v="22000"/>
    <n v="154000"/>
    <n v="37261"/>
    <x v="1"/>
    <n v="6"/>
    <x v="0"/>
    <n v="3"/>
    <x v="0"/>
    <n v="0"/>
    <n v="0"/>
  </r>
  <r>
    <n v="627"/>
    <d v="2025-07-20T00:00:00"/>
    <x v="6"/>
    <x v="1"/>
    <n v="7"/>
    <n v="22000"/>
    <n v="154000"/>
    <n v="37625"/>
    <x v="1"/>
    <n v="6"/>
    <x v="1"/>
    <n v="4"/>
    <x v="0"/>
    <n v="0"/>
    <n v="1"/>
  </r>
  <r>
    <n v="679"/>
    <d v="2025-08-25T00:00:00"/>
    <x v="3"/>
    <x v="9"/>
    <n v="14"/>
    <n v="11000"/>
    <n v="154000"/>
    <n v="29179"/>
    <x v="0"/>
    <n v="3"/>
    <x v="0"/>
    <n v="7"/>
    <x v="0"/>
    <n v="1"/>
    <n v="0"/>
  </r>
  <r>
    <n v="773"/>
    <d v="2024-11-06T00:00:00"/>
    <x v="6"/>
    <x v="1"/>
    <n v="7"/>
    <n v="22000"/>
    <n v="154000"/>
    <n v="41962"/>
    <x v="0"/>
    <n v="6"/>
    <x v="0"/>
    <n v="5"/>
    <x v="0"/>
    <n v="1"/>
    <n v="0"/>
  </r>
  <r>
    <n v="866"/>
    <d v="2024-01-31T00:00:00"/>
    <x v="0"/>
    <x v="5"/>
    <n v="11"/>
    <n v="14000"/>
    <n v="154000"/>
    <n v="45036"/>
    <x v="1"/>
    <n v="8"/>
    <x v="1"/>
    <n v="1"/>
    <x v="0"/>
    <n v="0"/>
    <n v="1"/>
  </r>
  <r>
    <n v="905"/>
    <d v="2024-09-29T00:00:00"/>
    <x v="1"/>
    <x v="1"/>
    <n v="7"/>
    <n v="22000"/>
    <n v="154000"/>
    <n v="39380"/>
    <x v="1"/>
    <n v="2"/>
    <x v="0"/>
    <n v="9"/>
    <x v="0"/>
    <n v="0"/>
    <n v="0"/>
  </r>
  <r>
    <n v="228"/>
    <d v="2024-06-10T00:00:00"/>
    <x v="3"/>
    <x v="4"/>
    <n v="10"/>
    <n v="15000"/>
    <n v="150000"/>
    <n v="26281"/>
    <x v="1"/>
    <n v="5"/>
    <x v="0"/>
    <n v="3"/>
    <x v="1"/>
    <n v="0"/>
    <n v="0"/>
  </r>
  <r>
    <n v="646"/>
    <d v="2025-08-13T00:00:00"/>
    <x v="1"/>
    <x v="0"/>
    <n v="6"/>
    <n v="25000"/>
    <n v="150000"/>
    <n v="25794"/>
    <x v="1"/>
    <n v="8"/>
    <x v="0"/>
    <n v="1"/>
    <x v="1"/>
    <n v="0"/>
    <n v="0"/>
  </r>
  <r>
    <n v="758"/>
    <d v="2024-09-07T00:00:00"/>
    <x v="5"/>
    <x v="0"/>
    <n v="6"/>
    <n v="25000"/>
    <n v="150000"/>
    <n v="34373"/>
    <x v="1"/>
    <n v="2"/>
    <x v="0"/>
    <n v="6"/>
    <x v="0"/>
    <n v="0"/>
    <n v="0"/>
  </r>
  <r>
    <n v="10"/>
    <d v="2024-04-30T00:00:00"/>
    <x v="2"/>
    <x v="3"/>
    <n v="8"/>
    <n v="18000"/>
    <n v="144000"/>
    <n v="39016"/>
    <x v="1"/>
    <n v="4"/>
    <x v="0"/>
    <n v="5"/>
    <x v="0"/>
    <n v="0"/>
    <n v="0"/>
  </r>
  <r>
    <n v="76"/>
    <d v="2024-12-13T00:00:00"/>
    <x v="1"/>
    <x v="3"/>
    <n v="8"/>
    <n v="18000"/>
    <n v="144000"/>
    <n v="34917"/>
    <x v="1"/>
    <n v="4"/>
    <x v="1"/>
    <n v="6"/>
    <x v="0"/>
    <n v="0"/>
    <n v="1"/>
  </r>
  <r>
    <n v="123"/>
    <d v="2024-12-23T00:00:00"/>
    <x v="0"/>
    <x v="7"/>
    <n v="12"/>
    <n v="12000"/>
    <n v="144000"/>
    <n v="32024"/>
    <x v="1"/>
    <n v="3"/>
    <x v="1"/>
    <n v="6"/>
    <x v="0"/>
    <n v="0"/>
    <n v="1"/>
  </r>
  <r>
    <n v="189"/>
    <d v="2025-06-03T00:00:00"/>
    <x v="4"/>
    <x v="8"/>
    <n v="12"/>
    <n v="12000"/>
    <n v="144000"/>
    <n v="42925"/>
    <x v="0"/>
    <n v="4"/>
    <x v="0"/>
    <n v="4"/>
    <x v="0"/>
    <n v="1"/>
    <n v="0"/>
  </r>
  <r>
    <n v="385"/>
    <d v="2025-06-17T00:00:00"/>
    <x v="4"/>
    <x v="8"/>
    <n v="12"/>
    <n v="12000"/>
    <n v="144000"/>
    <n v="41138"/>
    <x v="0"/>
    <n v="5"/>
    <x v="0"/>
    <n v="6"/>
    <x v="0"/>
    <n v="1"/>
    <n v="0"/>
  </r>
  <r>
    <n v="424"/>
    <d v="2025-05-29T00:00:00"/>
    <x v="6"/>
    <x v="8"/>
    <n v="12"/>
    <n v="12000"/>
    <n v="144000"/>
    <n v="26288"/>
    <x v="1"/>
    <n v="5"/>
    <x v="0"/>
    <n v="6"/>
    <x v="0"/>
    <n v="0"/>
    <n v="0"/>
  </r>
  <r>
    <n v="526"/>
    <d v="2025-10-08T00:00:00"/>
    <x v="0"/>
    <x v="8"/>
    <n v="12"/>
    <n v="12000"/>
    <n v="144000"/>
    <n v="26809"/>
    <x v="1"/>
    <n v="4"/>
    <x v="1"/>
    <n v="4"/>
    <x v="0"/>
    <n v="0"/>
    <n v="1"/>
  </r>
  <r>
    <n v="649"/>
    <d v="2024-05-16T00:00:00"/>
    <x v="3"/>
    <x v="7"/>
    <n v="12"/>
    <n v="12000"/>
    <n v="144000"/>
    <n v="43167"/>
    <x v="0"/>
    <n v="6"/>
    <x v="1"/>
    <n v="4"/>
    <x v="0"/>
    <n v="1"/>
    <n v="1"/>
  </r>
  <r>
    <n v="779"/>
    <d v="2025-11-07T00:00:00"/>
    <x v="0"/>
    <x v="6"/>
    <n v="12"/>
    <n v="12000"/>
    <n v="144000"/>
    <n v="22259"/>
    <x v="1"/>
    <n v="5"/>
    <x v="0"/>
    <n v="3"/>
    <x v="0"/>
    <n v="0"/>
    <n v="0"/>
  </r>
  <r>
    <n v="910"/>
    <d v="2024-01-17T00:00:00"/>
    <x v="4"/>
    <x v="6"/>
    <n v="12"/>
    <n v="12000"/>
    <n v="144000"/>
    <n v="22752"/>
    <x v="0"/>
    <n v="8"/>
    <x v="1"/>
    <n v="1"/>
    <x v="1"/>
    <n v="1"/>
    <n v="1"/>
  </r>
  <r>
    <n v="954"/>
    <d v="2024-06-30T00:00:00"/>
    <x v="4"/>
    <x v="7"/>
    <n v="12"/>
    <n v="12000"/>
    <n v="144000"/>
    <n v="32044"/>
    <x v="1"/>
    <n v="7"/>
    <x v="1"/>
    <n v="1"/>
    <x v="0"/>
    <n v="0"/>
    <n v="1"/>
  </r>
  <r>
    <n v="108"/>
    <d v="2025-05-05T00:00:00"/>
    <x v="4"/>
    <x v="10"/>
    <n v="14"/>
    <n v="10000"/>
    <n v="140000"/>
    <n v="32143"/>
    <x v="1"/>
    <n v="5"/>
    <x v="1"/>
    <n v="4"/>
    <x v="1"/>
    <n v="0"/>
    <n v="1"/>
  </r>
  <r>
    <n v="269"/>
    <d v="2024-11-16T00:00:00"/>
    <x v="6"/>
    <x v="2"/>
    <n v="7"/>
    <n v="20000"/>
    <n v="140000"/>
    <n v="30862"/>
    <x v="1"/>
    <n v="2"/>
    <x v="1"/>
    <n v="7"/>
    <x v="0"/>
    <n v="0"/>
    <n v="1"/>
  </r>
  <r>
    <n v="307"/>
    <d v="2025-03-10T00:00:00"/>
    <x v="4"/>
    <x v="10"/>
    <n v="14"/>
    <n v="10000"/>
    <n v="140000"/>
    <n v="31327"/>
    <x v="0"/>
    <n v="3"/>
    <x v="0"/>
    <n v="7"/>
    <x v="0"/>
    <n v="1"/>
    <n v="0"/>
  </r>
  <r>
    <n v="418"/>
    <d v="2024-03-19T00:00:00"/>
    <x v="5"/>
    <x v="2"/>
    <n v="7"/>
    <n v="20000"/>
    <n v="140000"/>
    <n v="30985"/>
    <x v="1"/>
    <n v="7"/>
    <x v="1"/>
    <n v="1"/>
    <x v="0"/>
    <n v="0"/>
    <n v="1"/>
  </r>
  <r>
    <n v="482"/>
    <d v="2025-12-05T00:00:00"/>
    <x v="1"/>
    <x v="10"/>
    <n v="14"/>
    <n v="10000"/>
    <n v="140000"/>
    <n v="31646"/>
    <x v="1"/>
    <n v="5"/>
    <x v="0"/>
    <n v="5"/>
    <x v="0"/>
    <n v="0"/>
    <n v="0"/>
  </r>
  <r>
    <n v="514"/>
    <d v="2024-11-13T00:00:00"/>
    <x v="4"/>
    <x v="5"/>
    <n v="10"/>
    <n v="14000"/>
    <n v="140000"/>
    <n v="35998"/>
    <x v="1"/>
    <n v="3"/>
    <x v="0"/>
    <n v="6"/>
    <x v="1"/>
    <n v="0"/>
    <n v="0"/>
  </r>
  <r>
    <n v="548"/>
    <d v="2025-02-05T00:00:00"/>
    <x v="3"/>
    <x v="11"/>
    <n v="14"/>
    <n v="10000"/>
    <n v="140000"/>
    <n v="27607"/>
    <x v="1"/>
    <n v="7"/>
    <x v="0"/>
    <n v="3"/>
    <x v="1"/>
    <n v="0"/>
    <n v="0"/>
  </r>
  <r>
    <n v="603"/>
    <d v="2025-09-26T00:00:00"/>
    <x v="1"/>
    <x v="5"/>
    <n v="10"/>
    <n v="14000"/>
    <n v="140000"/>
    <n v="40059"/>
    <x v="1"/>
    <n v="4"/>
    <x v="0"/>
    <n v="6"/>
    <x v="0"/>
    <n v="0"/>
    <n v="0"/>
  </r>
  <r>
    <n v="784"/>
    <d v="2025-01-06T00:00:00"/>
    <x v="0"/>
    <x v="11"/>
    <n v="14"/>
    <n v="10000"/>
    <n v="140000"/>
    <n v="35973"/>
    <x v="1"/>
    <n v="8"/>
    <x v="0"/>
    <n v="1"/>
    <x v="0"/>
    <n v="0"/>
    <n v="0"/>
  </r>
  <r>
    <n v="970"/>
    <d v="2024-08-24T00:00:00"/>
    <x v="3"/>
    <x v="5"/>
    <n v="10"/>
    <n v="14000"/>
    <n v="140000"/>
    <n v="22963"/>
    <x v="1"/>
    <n v="5"/>
    <x v="0"/>
    <n v="3"/>
    <x v="0"/>
    <n v="0"/>
    <n v="0"/>
  </r>
  <r>
    <n v="344"/>
    <d v="2025-01-24T00:00:00"/>
    <x v="1"/>
    <x v="4"/>
    <n v="9"/>
    <n v="15000"/>
    <n v="135000"/>
    <n v="37918"/>
    <x v="1"/>
    <n v="6"/>
    <x v="1"/>
    <n v="2"/>
    <x v="0"/>
    <n v="0"/>
    <n v="1"/>
  </r>
  <r>
    <n v="628"/>
    <d v="2024-11-26T00:00:00"/>
    <x v="4"/>
    <x v="4"/>
    <n v="9"/>
    <n v="15000"/>
    <n v="135000"/>
    <n v="26202"/>
    <x v="0"/>
    <n v="7"/>
    <x v="0"/>
    <n v="2"/>
    <x v="0"/>
    <n v="1"/>
    <n v="0"/>
  </r>
  <r>
    <n v="262"/>
    <d v="2024-10-01T00:00:00"/>
    <x v="5"/>
    <x v="1"/>
    <n v="6"/>
    <n v="22000"/>
    <n v="132000"/>
    <n v="34576"/>
    <x v="1"/>
    <n v="3"/>
    <x v="0"/>
    <n v="5"/>
    <x v="0"/>
    <n v="0"/>
    <n v="0"/>
  </r>
  <r>
    <n v="279"/>
    <d v="2025-07-25T00:00:00"/>
    <x v="6"/>
    <x v="1"/>
    <n v="6"/>
    <n v="22000"/>
    <n v="132000"/>
    <n v="22019"/>
    <x v="0"/>
    <n v="7"/>
    <x v="1"/>
    <n v="2"/>
    <x v="0"/>
    <n v="1"/>
    <n v="1"/>
  </r>
  <r>
    <n v="283"/>
    <d v="2024-12-04T00:00:00"/>
    <x v="6"/>
    <x v="7"/>
    <n v="11"/>
    <n v="12000"/>
    <n v="132000"/>
    <n v="20759"/>
    <x v="1"/>
    <n v="4"/>
    <x v="0"/>
    <n v="6"/>
    <x v="0"/>
    <n v="0"/>
    <n v="0"/>
  </r>
  <r>
    <n v="316"/>
    <d v="2024-08-22T00:00:00"/>
    <x v="3"/>
    <x v="1"/>
    <n v="6"/>
    <n v="22000"/>
    <n v="132000"/>
    <n v="24298"/>
    <x v="1"/>
    <n v="4"/>
    <x v="0"/>
    <n v="7"/>
    <x v="0"/>
    <n v="0"/>
    <n v="0"/>
  </r>
  <r>
    <n v="373"/>
    <d v="2024-02-16T00:00:00"/>
    <x v="6"/>
    <x v="8"/>
    <n v="11"/>
    <n v="12000"/>
    <n v="132000"/>
    <n v="33271"/>
    <x v="0"/>
    <n v="4"/>
    <x v="1"/>
    <n v="5"/>
    <x v="0"/>
    <n v="1"/>
    <n v="1"/>
  </r>
  <r>
    <n v="401"/>
    <d v="2024-02-18T00:00:00"/>
    <x v="2"/>
    <x v="9"/>
    <n v="12"/>
    <n v="11000"/>
    <n v="132000"/>
    <n v="34501"/>
    <x v="1"/>
    <n v="9"/>
    <x v="1"/>
    <n v="1"/>
    <x v="0"/>
    <n v="0"/>
    <n v="1"/>
  </r>
  <r>
    <n v="403"/>
    <d v="2025-12-15T00:00:00"/>
    <x v="3"/>
    <x v="1"/>
    <n v="6"/>
    <n v="22000"/>
    <n v="132000"/>
    <n v="21734"/>
    <x v="1"/>
    <n v="3"/>
    <x v="0"/>
    <n v="6"/>
    <x v="1"/>
    <n v="0"/>
    <n v="0"/>
  </r>
  <r>
    <n v="433"/>
    <d v="2024-11-14T00:00:00"/>
    <x v="2"/>
    <x v="9"/>
    <n v="12"/>
    <n v="11000"/>
    <n v="132000"/>
    <n v="30472"/>
    <x v="1"/>
    <n v="9"/>
    <x v="1"/>
    <n v="2"/>
    <x v="0"/>
    <n v="0"/>
    <n v="1"/>
  </r>
  <r>
    <n v="463"/>
    <d v="2024-11-28T00:00:00"/>
    <x v="6"/>
    <x v="6"/>
    <n v="11"/>
    <n v="12000"/>
    <n v="132000"/>
    <n v="30455"/>
    <x v="1"/>
    <n v="6"/>
    <x v="1"/>
    <n v="3"/>
    <x v="0"/>
    <n v="0"/>
    <n v="1"/>
  </r>
  <r>
    <n v="473"/>
    <d v="2025-06-12T00:00:00"/>
    <x v="4"/>
    <x v="1"/>
    <n v="6"/>
    <n v="22000"/>
    <n v="132000"/>
    <n v="20391"/>
    <x v="1"/>
    <n v="7"/>
    <x v="0"/>
    <n v="1"/>
    <x v="0"/>
    <n v="0"/>
    <n v="0"/>
  </r>
  <r>
    <n v="531"/>
    <d v="2025-02-12T00:00:00"/>
    <x v="2"/>
    <x v="8"/>
    <n v="11"/>
    <n v="12000"/>
    <n v="132000"/>
    <n v="31845"/>
    <x v="1"/>
    <n v="6"/>
    <x v="1"/>
    <n v="3"/>
    <x v="0"/>
    <n v="0"/>
    <n v="1"/>
  </r>
  <r>
    <n v="577"/>
    <d v="2024-09-17T00:00:00"/>
    <x v="5"/>
    <x v="1"/>
    <n v="6"/>
    <n v="22000"/>
    <n v="132000"/>
    <n v="33127"/>
    <x v="0"/>
    <n v="7"/>
    <x v="1"/>
    <n v="3"/>
    <x v="0"/>
    <n v="1"/>
    <n v="1"/>
  </r>
  <r>
    <n v="678"/>
    <d v="2024-06-06T00:00:00"/>
    <x v="0"/>
    <x v="1"/>
    <n v="6"/>
    <n v="22000"/>
    <n v="132000"/>
    <n v="37072"/>
    <x v="1"/>
    <n v="8"/>
    <x v="1"/>
    <n v="1"/>
    <x v="0"/>
    <n v="0"/>
    <n v="1"/>
  </r>
  <r>
    <n v="872"/>
    <d v="2025-11-06T00:00:00"/>
    <x v="4"/>
    <x v="8"/>
    <n v="11"/>
    <n v="12000"/>
    <n v="132000"/>
    <n v="31682"/>
    <x v="1"/>
    <n v="5"/>
    <x v="0"/>
    <n v="6"/>
    <x v="0"/>
    <n v="0"/>
    <n v="0"/>
  </r>
  <r>
    <n v="922"/>
    <d v="2024-12-09T00:00:00"/>
    <x v="2"/>
    <x v="1"/>
    <n v="6"/>
    <n v="22000"/>
    <n v="132000"/>
    <n v="25747"/>
    <x v="0"/>
    <n v="2"/>
    <x v="0"/>
    <n v="8"/>
    <x v="1"/>
    <n v="1"/>
    <n v="0"/>
  </r>
  <r>
    <n v="930"/>
    <d v="2025-01-01T00:00:00"/>
    <x v="4"/>
    <x v="1"/>
    <n v="6"/>
    <n v="22000"/>
    <n v="132000"/>
    <n v="20323"/>
    <x v="0"/>
    <n v="6"/>
    <x v="0"/>
    <n v="5"/>
    <x v="1"/>
    <n v="1"/>
    <n v="0"/>
  </r>
  <r>
    <n v="966"/>
    <d v="2024-07-27T00:00:00"/>
    <x v="5"/>
    <x v="7"/>
    <n v="11"/>
    <n v="12000"/>
    <n v="132000"/>
    <n v="25852"/>
    <x v="0"/>
    <n v="8"/>
    <x v="1"/>
    <n v="2"/>
    <x v="0"/>
    <n v="1"/>
    <n v="1"/>
  </r>
  <r>
    <n v="983"/>
    <d v="2024-05-21T00:00:00"/>
    <x v="6"/>
    <x v="8"/>
    <n v="11"/>
    <n v="12000"/>
    <n v="132000"/>
    <n v="35684"/>
    <x v="1"/>
    <n v="8"/>
    <x v="0"/>
    <n v="2"/>
    <x v="0"/>
    <n v="0"/>
    <n v="0"/>
  </r>
  <r>
    <n v="115"/>
    <d v="2024-05-21T00:00:00"/>
    <x v="0"/>
    <x v="11"/>
    <n v="13"/>
    <n v="10000"/>
    <n v="130000"/>
    <n v="23189"/>
    <x v="1"/>
    <n v="7"/>
    <x v="1"/>
    <n v="3"/>
    <x v="0"/>
    <n v="0"/>
    <n v="1"/>
  </r>
  <r>
    <n v="134"/>
    <d v="2024-11-10T00:00:00"/>
    <x v="2"/>
    <x v="11"/>
    <n v="13"/>
    <n v="10000"/>
    <n v="130000"/>
    <n v="38847"/>
    <x v="0"/>
    <n v="6"/>
    <x v="1"/>
    <n v="2"/>
    <x v="0"/>
    <n v="1"/>
    <n v="1"/>
  </r>
  <r>
    <n v="136"/>
    <d v="2025-09-03T00:00:00"/>
    <x v="1"/>
    <x v="11"/>
    <n v="13"/>
    <n v="10000"/>
    <n v="130000"/>
    <n v="25612"/>
    <x v="1"/>
    <n v="7"/>
    <x v="1"/>
    <n v="3"/>
    <x v="0"/>
    <n v="0"/>
    <n v="1"/>
  </r>
  <r>
    <n v="267"/>
    <d v="2025-09-22T00:00:00"/>
    <x v="6"/>
    <x v="11"/>
    <n v="13"/>
    <n v="10000"/>
    <n v="130000"/>
    <n v="38469"/>
    <x v="1"/>
    <n v="5"/>
    <x v="0"/>
    <n v="5"/>
    <x v="1"/>
    <n v="0"/>
    <n v="0"/>
  </r>
  <r>
    <n v="353"/>
    <d v="2025-06-04T00:00:00"/>
    <x v="5"/>
    <x v="11"/>
    <n v="13"/>
    <n v="10000"/>
    <n v="130000"/>
    <n v="34778"/>
    <x v="1"/>
    <n v="5"/>
    <x v="0"/>
    <n v="6"/>
    <x v="1"/>
    <n v="0"/>
    <n v="0"/>
  </r>
  <r>
    <n v="497"/>
    <d v="2025-09-12T00:00:00"/>
    <x v="3"/>
    <x v="11"/>
    <n v="13"/>
    <n v="10000"/>
    <n v="130000"/>
    <n v="23388"/>
    <x v="0"/>
    <n v="6"/>
    <x v="1"/>
    <n v="4"/>
    <x v="0"/>
    <n v="1"/>
    <n v="1"/>
  </r>
  <r>
    <n v="675"/>
    <d v="2024-07-13T00:00:00"/>
    <x v="6"/>
    <x v="10"/>
    <n v="13"/>
    <n v="10000"/>
    <n v="130000"/>
    <n v="30566"/>
    <x v="1"/>
    <n v="3"/>
    <x v="0"/>
    <n v="5"/>
    <x v="1"/>
    <n v="0"/>
    <n v="0"/>
  </r>
  <r>
    <n v="990"/>
    <d v="2025-08-20T00:00:00"/>
    <x v="6"/>
    <x v="10"/>
    <n v="13"/>
    <n v="10000"/>
    <n v="130000"/>
    <n v="20591"/>
    <x v="0"/>
    <n v="4"/>
    <x v="1"/>
    <n v="4"/>
    <x v="0"/>
    <n v="1"/>
    <n v="1"/>
  </r>
  <r>
    <n v="28"/>
    <d v="2025-11-26T00:00:00"/>
    <x v="6"/>
    <x v="5"/>
    <n v="9"/>
    <n v="14000"/>
    <n v="126000"/>
    <n v="33496"/>
    <x v="1"/>
    <n v="7"/>
    <x v="1"/>
    <n v="1"/>
    <x v="0"/>
    <n v="0"/>
    <n v="1"/>
  </r>
  <r>
    <n v="102"/>
    <d v="2025-02-26T00:00:00"/>
    <x v="5"/>
    <x v="12"/>
    <n v="14"/>
    <n v="9000"/>
    <n v="126000"/>
    <n v="34305"/>
    <x v="0"/>
    <n v="4"/>
    <x v="0"/>
    <n v="5"/>
    <x v="0"/>
    <n v="1"/>
    <n v="0"/>
  </r>
  <r>
    <n v="103"/>
    <d v="2024-08-11T00:00:00"/>
    <x v="3"/>
    <x v="3"/>
    <n v="7"/>
    <n v="18000"/>
    <n v="126000"/>
    <n v="35462"/>
    <x v="0"/>
    <n v="2"/>
    <x v="0"/>
    <n v="9"/>
    <x v="0"/>
    <n v="1"/>
    <n v="0"/>
  </r>
  <r>
    <n v="247"/>
    <d v="2025-10-29T00:00:00"/>
    <x v="1"/>
    <x v="12"/>
    <n v="14"/>
    <n v="9000"/>
    <n v="126000"/>
    <n v="27682"/>
    <x v="1"/>
    <n v="9"/>
    <x v="1"/>
    <n v="2"/>
    <x v="0"/>
    <n v="0"/>
    <n v="1"/>
  </r>
  <r>
    <n v="315"/>
    <d v="2024-01-11T00:00:00"/>
    <x v="3"/>
    <x v="5"/>
    <n v="9"/>
    <n v="14000"/>
    <n v="126000"/>
    <n v="35086"/>
    <x v="1"/>
    <n v="4"/>
    <x v="0"/>
    <n v="5"/>
    <x v="0"/>
    <n v="0"/>
    <n v="0"/>
  </r>
  <r>
    <n v="317"/>
    <d v="2024-11-20T00:00:00"/>
    <x v="3"/>
    <x v="12"/>
    <n v="14"/>
    <n v="9000"/>
    <n v="126000"/>
    <n v="21028"/>
    <x v="1"/>
    <n v="3"/>
    <x v="0"/>
    <n v="5"/>
    <x v="0"/>
    <n v="0"/>
    <n v="0"/>
  </r>
  <r>
    <n v="518"/>
    <d v="2024-04-30T00:00:00"/>
    <x v="2"/>
    <x v="5"/>
    <n v="9"/>
    <n v="14000"/>
    <n v="126000"/>
    <n v="33533"/>
    <x v="1"/>
    <n v="3"/>
    <x v="0"/>
    <n v="5"/>
    <x v="0"/>
    <n v="0"/>
    <n v="0"/>
  </r>
  <r>
    <n v="604"/>
    <d v="2025-01-27T00:00:00"/>
    <x v="3"/>
    <x v="3"/>
    <n v="7"/>
    <n v="18000"/>
    <n v="126000"/>
    <n v="32974"/>
    <x v="1"/>
    <n v="3"/>
    <x v="0"/>
    <n v="5"/>
    <x v="0"/>
    <n v="0"/>
    <n v="0"/>
  </r>
  <r>
    <n v="687"/>
    <d v="2024-09-15T00:00:00"/>
    <x v="5"/>
    <x v="5"/>
    <n v="9"/>
    <n v="14000"/>
    <n v="126000"/>
    <n v="35430"/>
    <x v="1"/>
    <n v="4"/>
    <x v="0"/>
    <n v="5"/>
    <x v="0"/>
    <n v="0"/>
    <n v="0"/>
  </r>
  <r>
    <n v="863"/>
    <d v="2025-05-03T00:00:00"/>
    <x v="3"/>
    <x v="12"/>
    <n v="14"/>
    <n v="9000"/>
    <n v="126000"/>
    <n v="28026"/>
    <x v="0"/>
    <n v="4"/>
    <x v="0"/>
    <n v="5"/>
    <x v="0"/>
    <n v="1"/>
    <n v="0"/>
  </r>
  <r>
    <n v="972"/>
    <d v="2025-07-02T00:00:00"/>
    <x v="6"/>
    <x v="12"/>
    <n v="14"/>
    <n v="9000"/>
    <n v="126000"/>
    <n v="25477"/>
    <x v="0"/>
    <n v="9"/>
    <x v="0"/>
    <n v="2"/>
    <x v="0"/>
    <n v="1"/>
    <n v="0"/>
  </r>
  <r>
    <n v="994"/>
    <d v="2025-12-21T00:00:00"/>
    <x v="3"/>
    <x v="3"/>
    <n v="7"/>
    <n v="18000"/>
    <n v="126000"/>
    <n v="35278"/>
    <x v="1"/>
    <n v="5"/>
    <x v="1"/>
    <n v="4"/>
    <x v="0"/>
    <n v="0"/>
    <n v="1"/>
  </r>
  <r>
    <n v="133"/>
    <d v="2025-04-20T00:00:00"/>
    <x v="4"/>
    <x v="0"/>
    <n v="5"/>
    <n v="25000"/>
    <n v="125000"/>
    <n v="35912"/>
    <x v="1"/>
    <n v="2"/>
    <x v="0"/>
    <n v="9"/>
    <x v="0"/>
    <n v="0"/>
    <n v="0"/>
  </r>
  <r>
    <n v="436"/>
    <d v="2025-12-11T00:00:00"/>
    <x v="6"/>
    <x v="0"/>
    <n v="5"/>
    <n v="25000"/>
    <n v="125000"/>
    <n v="21726"/>
    <x v="1"/>
    <n v="6"/>
    <x v="0"/>
    <n v="3"/>
    <x v="0"/>
    <n v="0"/>
    <n v="0"/>
  </r>
  <r>
    <n v="776"/>
    <d v="2025-12-15T00:00:00"/>
    <x v="0"/>
    <x v="0"/>
    <n v="5"/>
    <n v="25000"/>
    <n v="125000"/>
    <n v="32107"/>
    <x v="1"/>
    <n v="5"/>
    <x v="1"/>
    <n v="4"/>
    <x v="0"/>
    <n v="0"/>
    <n v="1"/>
  </r>
  <r>
    <n v="15"/>
    <d v="2024-04-07T00:00:00"/>
    <x v="4"/>
    <x v="11"/>
    <n v="12"/>
    <n v="10000"/>
    <n v="120000"/>
    <n v="35508"/>
    <x v="0"/>
    <n v="8"/>
    <x v="0"/>
    <n v="2"/>
    <x v="0"/>
    <n v="1"/>
    <n v="0"/>
  </r>
  <r>
    <n v="21"/>
    <d v="2024-12-15T00:00:00"/>
    <x v="4"/>
    <x v="11"/>
    <n v="12"/>
    <n v="10000"/>
    <n v="120000"/>
    <n v="22707"/>
    <x v="0"/>
    <n v="7"/>
    <x v="1"/>
    <n v="1"/>
    <x v="0"/>
    <n v="1"/>
    <n v="1"/>
  </r>
  <r>
    <n v="26"/>
    <d v="2025-09-13T00:00:00"/>
    <x v="0"/>
    <x v="4"/>
    <n v="8"/>
    <n v="15000"/>
    <n v="120000"/>
    <n v="18659"/>
    <x v="1"/>
    <n v="3"/>
    <x v="1"/>
    <n v="6"/>
    <x v="0"/>
    <n v="0"/>
    <n v="1"/>
  </r>
  <r>
    <n v="53"/>
    <d v="2024-01-15T00:00:00"/>
    <x v="3"/>
    <x v="7"/>
    <n v="10"/>
    <n v="12000"/>
    <n v="120000"/>
    <n v="26637"/>
    <x v="0"/>
    <n v="3"/>
    <x v="0"/>
    <n v="8"/>
    <x v="0"/>
    <n v="1"/>
    <n v="0"/>
  </r>
  <r>
    <n v="66"/>
    <d v="2024-06-11T00:00:00"/>
    <x v="6"/>
    <x v="8"/>
    <n v="10"/>
    <n v="12000"/>
    <n v="120000"/>
    <n v="30138"/>
    <x v="1"/>
    <n v="4"/>
    <x v="0"/>
    <n v="5"/>
    <x v="0"/>
    <n v="0"/>
    <n v="0"/>
  </r>
  <r>
    <n v="124"/>
    <d v="2024-08-08T00:00:00"/>
    <x v="5"/>
    <x v="8"/>
    <n v="10"/>
    <n v="12000"/>
    <n v="120000"/>
    <n v="20608"/>
    <x v="1"/>
    <n v="6"/>
    <x v="1"/>
    <n v="4"/>
    <x v="0"/>
    <n v="0"/>
    <n v="1"/>
  </r>
  <r>
    <n v="176"/>
    <d v="2024-07-01T00:00:00"/>
    <x v="1"/>
    <x v="6"/>
    <n v="10"/>
    <n v="12000"/>
    <n v="120000"/>
    <n v="33816"/>
    <x v="0"/>
    <n v="8"/>
    <x v="1"/>
    <n v="3"/>
    <x v="0"/>
    <n v="1"/>
    <n v="1"/>
  </r>
  <r>
    <n v="193"/>
    <d v="2025-05-21T00:00:00"/>
    <x v="6"/>
    <x v="6"/>
    <n v="10"/>
    <n v="12000"/>
    <n v="120000"/>
    <n v="35400"/>
    <x v="1"/>
    <n v="3"/>
    <x v="1"/>
    <n v="7"/>
    <x v="1"/>
    <n v="0"/>
    <n v="1"/>
  </r>
  <r>
    <n v="203"/>
    <d v="2024-11-21T00:00:00"/>
    <x v="2"/>
    <x v="10"/>
    <n v="12"/>
    <n v="10000"/>
    <n v="120000"/>
    <n v="34615"/>
    <x v="1"/>
    <n v="3"/>
    <x v="0"/>
    <n v="6"/>
    <x v="1"/>
    <n v="0"/>
    <n v="0"/>
  </r>
  <r>
    <n v="225"/>
    <d v="2024-08-16T00:00:00"/>
    <x v="0"/>
    <x v="4"/>
    <n v="8"/>
    <n v="15000"/>
    <n v="120000"/>
    <n v="32162"/>
    <x v="1"/>
    <n v="8"/>
    <x v="1"/>
    <n v="1"/>
    <x v="0"/>
    <n v="0"/>
    <n v="1"/>
  </r>
  <r>
    <n v="275"/>
    <d v="2024-09-28T00:00:00"/>
    <x v="1"/>
    <x v="8"/>
    <n v="10"/>
    <n v="12000"/>
    <n v="120000"/>
    <n v="35723"/>
    <x v="1"/>
    <n v="4"/>
    <x v="0"/>
    <n v="5"/>
    <x v="0"/>
    <n v="0"/>
    <n v="0"/>
  </r>
  <r>
    <n v="284"/>
    <d v="2024-06-05T00:00:00"/>
    <x v="5"/>
    <x v="2"/>
    <n v="6"/>
    <n v="20000"/>
    <n v="120000"/>
    <n v="34647"/>
    <x v="0"/>
    <n v="6"/>
    <x v="0"/>
    <n v="4"/>
    <x v="0"/>
    <n v="1"/>
    <n v="0"/>
  </r>
  <r>
    <n v="321"/>
    <d v="2024-06-27T00:00:00"/>
    <x v="5"/>
    <x v="4"/>
    <n v="8"/>
    <n v="15000"/>
    <n v="120000"/>
    <n v="28234"/>
    <x v="1"/>
    <n v="4"/>
    <x v="1"/>
    <n v="4"/>
    <x v="0"/>
    <n v="0"/>
    <n v="1"/>
  </r>
  <r>
    <n v="330"/>
    <d v="2024-11-01T00:00:00"/>
    <x v="4"/>
    <x v="8"/>
    <n v="10"/>
    <n v="12000"/>
    <n v="120000"/>
    <n v="28404"/>
    <x v="0"/>
    <n v="8"/>
    <x v="1"/>
    <n v="1"/>
    <x v="1"/>
    <n v="1"/>
    <n v="1"/>
  </r>
  <r>
    <n v="341"/>
    <d v="2024-11-30T00:00:00"/>
    <x v="0"/>
    <x v="6"/>
    <n v="10"/>
    <n v="12000"/>
    <n v="120000"/>
    <n v="32840"/>
    <x v="0"/>
    <n v="5"/>
    <x v="0"/>
    <n v="5"/>
    <x v="0"/>
    <n v="1"/>
    <n v="0"/>
  </r>
  <r>
    <n v="343"/>
    <d v="2025-05-03T00:00:00"/>
    <x v="2"/>
    <x v="8"/>
    <n v="10"/>
    <n v="12000"/>
    <n v="120000"/>
    <n v="23602"/>
    <x v="1"/>
    <n v="4"/>
    <x v="1"/>
    <n v="4"/>
    <x v="1"/>
    <n v="0"/>
    <n v="1"/>
  </r>
  <r>
    <n v="356"/>
    <d v="2025-11-12T00:00:00"/>
    <x v="0"/>
    <x v="8"/>
    <n v="10"/>
    <n v="12000"/>
    <n v="120000"/>
    <n v="27818"/>
    <x v="1"/>
    <n v="7"/>
    <x v="1"/>
    <n v="2"/>
    <x v="0"/>
    <n v="0"/>
    <n v="1"/>
  </r>
  <r>
    <n v="456"/>
    <d v="2024-10-19T00:00:00"/>
    <x v="3"/>
    <x v="6"/>
    <n v="10"/>
    <n v="12000"/>
    <n v="120000"/>
    <n v="30587"/>
    <x v="1"/>
    <n v="8"/>
    <x v="0"/>
    <n v="1"/>
    <x v="1"/>
    <n v="0"/>
    <n v="0"/>
  </r>
  <r>
    <n v="481"/>
    <d v="2024-11-26T00:00:00"/>
    <x v="5"/>
    <x v="6"/>
    <n v="10"/>
    <n v="12000"/>
    <n v="120000"/>
    <n v="22633"/>
    <x v="1"/>
    <n v="9"/>
    <x v="1"/>
    <n v="1"/>
    <x v="1"/>
    <n v="0"/>
    <n v="1"/>
  </r>
  <r>
    <n v="525"/>
    <d v="2025-08-09T00:00:00"/>
    <x v="2"/>
    <x v="8"/>
    <n v="10"/>
    <n v="12000"/>
    <n v="120000"/>
    <n v="23609"/>
    <x v="1"/>
    <n v="6"/>
    <x v="1"/>
    <n v="4"/>
    <x v="0"/>
    <n v="0"/>
    <n v="1"/>
  </r>
  <r>
    <n v="530"/>
    <d v="2025-12-11T00:00:00"/>
    <x v="5"/>
    <x v="8"/>
    <n v="10"/>
    <n v="12000"/>
    <n v="120000"/>
    <n v="26137"/>
    <x v="0"/>
    <n v="5"/>
    <x v="0"/>
    <n v="5"/>
    <x v="1"/>
    <n v="1"/>
    <n v="0"/>
  </r>
  <r>
    <n v="587"/>
    <d v="2025-06-04T00:00:00"/>
    <x v="2"/>
    <x v="8"/>
    <n v="10"/>
    <n v="12000"/>
    <n v="120000"/>
    <n v="27498"/>
    <x v="0"/>
    <n v="7"/>
    <x v="0"/>
    <n v="3"/>
    <x v="1"/>
    <n v="1"/>
    <n v="0"/>
  </r>
  <r>
    <n v="595"/>
    <d v="2024-07-06T00:00:00"/>
    <x v="6"/>
    <x v="8"/>
    <n v="10"/>
    <n v="12000"/>
    <n v="120000"/>
    <n v="29076"/>
    <x v="0"/>
    <n v="5"/>
    <x v="0"/>
    <n v="6"/>
    <x v="0"/>
    <n v="1"/>
    <n v="0"/>
  </r>
  <r>
    <n v="599"/>
    <d v="2025-05-21T00:00:00"/>
    <x v="2"/>
    <x v="11"/>
    <n v="12"/>
    <n v="10000"/>
    <n v="120000"/>
    <n v="32228"/>
    <x v="1"/>
    <n v="9"/>
    <x v="0"/>
    <n v="1"/>
    <x v="1"/>
    <n v="0"/>
    <n v="0"/>
  </r>
  <r>
    <n v="606"/>
    <d v="2025-11-14T00:00:00"/>
    <x v="1"/>
    <x v="8"/>
    <n v="10"/>
    <n v="12000"/>
    <n v="120000"/>
    <n v="26536"/>
    <x v="1"/>
    <n v="5"/>
    <x v="0"/>
    <n v="4"/>
    <x v="0"/>
    <n v="0"/>
    <n v="0"/>
  </r>
  <r>
    <n v="632"/>
    <d v="2025-04-13T00:00:00"/>
    <x v="6"/>
    <x v="6"/>
    <n v="10"/>
    <n v="12000"/>
    <n v="120000"/>
    <n v="27019"/>
    <x v="1"/>
    <n v="3"/>
    <x v="0"/>
    <n v="5"/>
    <x v="0"/>
    <n v="0"/>
    <n v="0"/>
  </r>
  <r>
    <n v="692"/>
    <d v="2025-06-16T00:00:00"/>
    <x v="4"/>
    <x v="11"/>
    <n v="12"/>
    <n v="10000"/>
    <n v="120000"/>
    <n v="19906"/>
    <x v="1"/>
    <n v="7"/>
    <x v="1"/>
    <n v="4"/>
    <x v="1"/>
    <n v="0"/>
    <n v="1"/>
  </r>
  <r>
    <n v="811"/>
    <d v="2025-03-03T00:00:00"/>
    <x v="6"/>
    <x v="8"/>
    <n v="10"/>
    <n v="12000"/>
    <n v="120000"/>
    <n v="29887"/>
    <x v="1"/>
    <n v="7"/>
    <x v="1"/>
    <n v="4"/>
    <x v="0"/>
    <n v="0"/>
    <n v="1"/>
  </r>
  <r>
    <n v="812"/>
    <d v="2025-10-29T00:00:00"/>
    <x v="4"/>
    <x v="7"/>
    <n v="10"/>
    <n v="12000"/>
    <n v="120000"/>
    <n v="34197"/>
    <x v="1"/>
    <n v="3"/>
    <x v="1"/>
    <n v="7"/>
    <x v="0"/>
    <n v="0"/>
    <n v="1"/>
  </r>
  <r>
    <n v="817"/>
    <d v="2024-11-01T00:00:00"/>
    <x v="3"/>
    <x v="11"/>
    <n v="12"/>
    <n v="10000"/>
    <n v="120000"/>
    <n v="35440"/>
    <x v="1"/>
    <n v="3"/>
    <x v="0"/>
    <n v="5"/>
    <x v="0"/>
    <n v="0"/>
    <n v="0"/>
  </r>
  <r>
    <n v="871"/>
    <d v="2024-11-16T00:00:00"/>
    <x v="4"/>
    <x v="10"/>
    <n v="12"/>
    <n v="10000"/>
    <n v="120000"/>
    <n v="26775"/>
    <x v="1"/>
    <n v="9"/>
    <x v="1"/>
    <n v="1"/>
    <x v="0"/>
    <n v="0"/>
    <n v="1"/>
  </r>
  <r>
    <n v="959"/>
    <d v="2025-06-26T00:00:00"/>
    <x v="6"/>
    <x v="8"/>
    <n v="10"/>
    <n v="12000"/>
    <n v="120000"/>
    <n v="24738"/>
    <x v="1"/>
    <n v="3"/>
    <x v="0"/>
    <n v="5"/>
    <x v="1"/>
    <n v="0"/>
    <n v="0"/>
  </r>
  <r>
    <n v="967"/>
    <d v="2024-09-27T00:00:00"/>
    <x v="2"/>
    <x v="10"/>
    <n v="12"/>
    <n v="10000"/>
    <n v="120000"/>
    <n v="24360"/>
    <x v="1"/>
    <n v="8"/>
    <x v="1"/>
    <n v="1"/>
    <x v="1"/>
    <n v="0"/>
    <n v="1"/>
  </r>
  <r>
    <n v="375"/>
    <d v="2025-03-05T00:00:00"/>
    <x v="4"/>
    <x v="12"/>
    <n v="13"/>
    <n v="9000"/>
    <n v="117000"/>
    <n v="31673"/>
    <x v="1"/>
    <n v="9"/>
    <x v="1"/>
    <n v="1"/>
    <x v="0"/>
    <n v="0"/>
    <n v="1"/>
  </r>
  <r>
    <n v="452"/>
    <d v="2024-09-19T00:00:00"/>
    <x v="6"/>
    <x v="12"/>
    <n v="13"/>
    <n v="9000"/>
    <n v="117000"/>
    <n v="22798"/>
    <x v="0"/>
    <n v="5"/>
    <x v="1"/>
    <n v="4"/>
    <x v="0"/>
    <n v="1"/>
    <n v="1"/>
  </r>
  <r>
    <n v="559"/>
    <d v="2025-01-13T00:00:00"/>
    <x v="0"/>
    <x v="12"/>
    <n v="13"/>
    <n v="9000"/>
    <n v="117000"/>
    <n v="22456"/>
    <x v="1"/>
    <n v="8"/>
    <x v="0"/>
    <n v="3"/>
    <x v="1"/>
    <n v="0"/>
    <n v="0"/>
  </r>
  <r>
    <n v="596"/>
    <d v="2024-08-25T00:00:00"/>
    <x v="6"/>
    <x v="12"/>
    <n v="13"/>
    <n v="9000"/>
    <n v="117000"/>
    <n v="25523"/>
    <x v="0"/>
    <n v="3"/>
    <x v="0"/>
    <n v="7"/>
    <x v="0"/>
    <n v="1"/>
    <n v="0"/>
  </r>
  <r>
    <n v="688"/>
    <d v="2025-11-21T00:00:00"/>
    <x v="6"/>
    <x v="13"/>
    <n v="13"/>
    <n v="9000"/>
    <n v="117000"/>
    <n v="22548"/>
    <x v="1"/>
    <n v="7"/>
    <x v="1"/>
    <n v="4"/>
    <x v="0"/>
    <n v="0"/>
    <n v="1"/>
  </r>
  <r>
    <n v="746"/>
    <d v="2024-11-10T00:00:00"/>
    <x v="2"/>
    <x v="13"/>
    <n v="13"/>
    <n v="9000"/>
    <n v="117000"/>
    <n v="19403"/>
    <x v="0"/>
    <n v="9"/>
    <x v="0"/>
    <n v="1"/>
    <x v="0"/>
    <n v="1"/>
    <n v="0"/>
  </r>
  <r>
    <n v="816"/>
    <d v="2025-08-06T00:00:00"/>
    <x v="2"/>
    <x v="13"/>
    <n v="13"/>
    <n v="9000"/>
    <n v="117000"/>
    <n v="31377"/>
    <x v="1"/>
    <n v="8"/>
    <x v="1"/>
    <n v="1"/>
    <x v="0"/>
    <n v="0"/>
    <n v="1"/>
  </r>
  <r>
    <n v="939"/>
    <d v="2024-08-04T00:00:00"/>
    <x v="4"/>
    <x v="13"/>
    <n v="13"/>
    <n v="9000"/>
    <n v="117000"/>
    <n v="21875"/>
    <x v="1"/>
    <n v="3"/>
    <x v="0"/>
    <n v="5"/>
    <x v="0"/>
    <n v="0"/>
    <n v="0"/>
  </r>
  <r>
    <n v="460"/>
    <d v="2025-04-09T00:00:00"/>
    <x v="5"/>
    <x v="14"/>
    <n v="14"/>
    <n v="8000"/>
    <n v="112000"/>
    <n v="23029"/>
    <x v="0"/>
    <n v="3"/>
    <x v="0"/>
    <n v="8"/>
    <x v="1"/>
    <n v="1"/>
    <n v="0"/>
  </r>
  <r>
    <n v="895"/>
    <d v="2024-09-28T00:00:00"/>
    <x v="4"/>
    <x v="5"/>
    <n v="8"/>
    <n v="14000"/>
    <n v="112000"/>
    <n v="27743"/>
    <x v="0"/>
    <n v="7"/>
    <x v="0"/>
    <n v="2"/>
    <x v="0"/>
    <n v="1"/>
    <n v="0"/>
  </r>
  <r>
    <n v="13"/>
    <d v="2024-09-08T00:00:00"/>
    <x v="6"/>
    <x v="11"/>
    <n v="11"/>
    <n v="10000"/>
    <n v="110000"/>
    <n v="18652"/>
    <x v="0"/>
    <n v="6"/>
    <x v="1"/>
    <n v="2"/>
    <x v="0"/>
    <n v="1"/>
    <n v="1"/>
  </r>
  <r>
    <n v="217"/>
    <d v="2025-01-27T00:00:00"/>
    <x v="4"/>
    <x v="11"/>
    <n v="11"/>
    <n v="10000"/>
    <n v="110000"/>
    <n v="31304"/>
    <x v="1"/>
    <n v="5"/>
    <x v="1"/>
    <n v="3"/>
    <x v="0"/>
    <n v="0"/>
    <n v="1"/>
  </r>
  <r>
    <n v="260"/>
    <d v="2025-07-07T00:00:00"/>
    <x v="4"/>
    <x v="10"/>
    <n v="11"/>
    <n v="10000"/>
    <n v="110000"/>
    <n v="30793"/>
    <x v="1"/>
    <n v="8"/>
    <x v="1"/>
    <n v="1"/>
    <x v="0"/>
    <n v="0"/>
    <n v="1"/>
  </r>
  <r>
    <n v="378"/>
    <d v="2024-09-08T00:00:00"/>
    <x v="2"/>
    <x v="11"/>
    <n v="11"/>
    <n v="10000"/>
    <n v="110000"/>
    <n v="16616"/>
    <x v="1"/>
    <n v="3"/>
    <x v="0"/>
    <n v="5"/>
    <x v="0"/>
    <n v="0"/>
    <n v="0"/>
  </r>
  <r>
    <n v="465"/>
    <d v="2024-10-04T00:00:00"/>
    <x v="5"/>
    <x v="1"/>
    <n v="5"/>
    <n v="22000"/>
    <n v="110000"/>
    <n v="16551"/>
    <x v="1"/>
    <n v="7"/>
    <x v="1"/>
    <n v="4"/>
    <x v="1"/>
    <n v="0"/>
    <n v="1"/>
  </r>
  <r>
    <n v="510"/>
    <d v="2024-09-05T00:00:00"/>
    <x v="5"/>
    <x v="9"/>
    <n v="10"/>
    <n v="11000"/>
    <n v="110000"/>
    <n v="24100"/>
    <x v="1"/>
    <n v="4"/>
    <x v="0"/>
    <n v="5"/>
    <x v="0"/>
    <n v="0"/>
    <n v="0"/>
  </r>
  <r>
    <n v="671"/>
    <d v="2024-02-24T00:00:00"/>
    <x v="6"/>
    <x v="11"/>
    <n v="11"/>
    <n v="10000"/>
    <n v="110000"/>
    <n v="32790"/>
    <x v="0"/>
    <n v="7"/>
    <x v="1"/>
    <n v="1"/>
    <x v="0"/>
    <n v="1"/>
    <n v="1"/>
  </r>
  <r>
    <n v="749"/>
    <d v="2024-08-12T00:00:00"/>
    <x v="2"/>
    <x v="11"/>
    <n v="11"/>
    <n v="10000"/>
    <n v="110000"/>
    <n v="31543"/>
    <x v="0"/>
    <n v="8"/>
    <x v="0"/>
    <n v="2"/>
    <x v="0"/>
    <n v="1"/>
    <n v="0"/>
  </r>
  <r>
    <n v="917"/>
    <d v="2024-04-16T00:00:00"/>
    <x v="0"/>
    <x v="1"/>
    <n v="5"/>
    <n v="22000"/>
    <n v="110000"/>
    <n v="25202"/>
    <x v="0"/>
    <n v="7"/>
    <x v="0"/>
    <n v="2"/>
    <x v="0"/>
    <n v="1"/>
    <n v="0"/>
  </r>
  <r>
    <n v="80"/>
    <d v="2024-11-29T00:00:00"/>
    <x v="1"/>
    <x v="8"/>
    <n v="9"/>
    <n v="12000"/>
    <n v="108000"/>
    <n v="29755"/>
    <x v="1"/>
    <n v="4"/>
    <x v="0"/>
    <n v="7"/>
    <x v="0"/>
    <n v="0"/>
    <n v="0"/>
  </r>
  <r>
    <n v="87"/>
    <d v="2025-04-18T00:00:00"/>
    <x v="2"/>
    <x v="13"/>
    <n v="12"/>
    <n v="9000"/>
    <n v="108000"/>
    <n v="30900"/>
    <x v="0"/>
    <n v="8"/>
    <x v="1"/>
    <n v="2"/>
    <x v="0"/>
    <n v="1"/>
    <n v="1"/>
  </r>
  <r>
    <n v="109"/>
    <d v="2025-02-20T00:00:00"/>
    <x v="0"/>
    <x v="8"/>
    <n v="9"/>
    <n v="12000"/>
    <n v="108000"/>
    <n v="21017"/>
    <x v="1"/>
    <n v="3"/>
    <x v="0"/>
    <n v="6"/>
    <x v="1"/>
    <n v="0"/>
    <n v="0"/>
  </r>
  <r>
    <n v="144"/>
    <d v="2025-08-29T00:00:00"/>
    <x v="6"/>
    <x v="13"/>
    <n v="12"/>
    <n v="9000"/>
    <n v="108000"/>
    <n v="18632"/>
    <x v="0"/>
    <n v="5"/>
    <x v="1"/>
    <n v="6"/>
    <x v="0"/>
    <n v="1"/>
    <n v="1"/>
  </r>
  <r>
    <n v="162"/>
    <d v="2025-05-29T00:00:00"/>
    <x v="2"/>
    <x v="12"/>
    <n v="12"/>
    <n v="9000"/>
    <n v="108000"/>
    <n v="23356"/>
    <x v="0"/>
    <n v="7"/>
    <x v="1"/>
    <n v="3"/>
    <x v="0"/>
    <n v="1"/>
    <n v="1"/>
  </r>
  <r>
    <n v="244"/>
    <d v="2024-06-11T00:00:00"/>
    <x v="6"/>
    <x v="3"/>
    <n v="6"/>
    <n v="18000"/>
    <n v="108000"/>
    <n v="31024"/>
    <x v="0"/>
    <n v="8"/>
    <x v="0"/>
    <n v="1"/>
    <x v="0"/>
    <n v="1"/>
    <n v="0"/>
  </r>
  <r>
    <n v="391"/>
    <d v="2024-03-13T00:00:00"/>
    <x v="2"/>
    <x v="3"/>
    <n v="6"/>
    <n v="18000"/>
    <n v="108000"/>
    <n v="17369"/>
    <x v="0"/>
    <n v="7"/>
    <x v="1"/>
    <n v="4"/>
    <x v="1"/>
    <n v="1"/>
    <n v="1"/>
  </r>
  <r>
    <n v="467"/>
    <d v="2024-07-28T00:00:00"/>
    <x v="1"/>
    <x v="3"/>
    <n v="6"/>
    <n v="18000"/>
    <n v="108000"/>
    <n v="17082"/>
    <x v="1"/>
    <n v="5"/>
    <x v="0"/>
    <n v="5"/>
    <x v="0"/>
    <n v="0"/>
    <n v="0"/>
  </r>
  <r>
    <n v="468"/>
    <d v="2025-06-24T00:00:00"/>
    <x v="5"/>
    <x v="6"/>
    <n v="9"/>
    <n v="12000"/>
    <n v="108000"/>
    <n v="31781"/>
    <x v="0"/>
    <n v="5"/>
    <x v="1"/>
    <n v="4"/>
    <x v="1"/>
    <n v="1"/>
    <n v="1"/>
  </r>
  <r>
    <n v="474"/>
    <d v="2025-04-17T00:00:00"/>
    <x v="2"/>
    <x v="7"/>
    <n v="9"/>
    <n v="12000"/>
    <n v="108000"/>
    <n v="19297"/>
    <x v="0"/>
    <n v="5"/>
    <x v="0"/>
    <n v="5"/>
    <x v="0"/>
    <n v="1"/>
    <n v="0"/>
  </r>
  <r>
    <n v="498"/>
    <d v="2025-03-16T00:00:00"/>
    <x v="5"/>
    <x v="13"/>
    <n v="12"/>
    <n v="9000"/>
    <n v="108000"/>
    <n v="26677"/>
    <x v="0"/>
    <n v="5"/>
    <x v="1"/>
    <n v="3"/>
    <x v="0"/>
    <n v="1"/>
    <n v="1"/>
  </r>
  <r>
    <n v="534"/>
    <d v="2024-09-29T00:00:00"/>
    <x v="2"/>
    <x v="13"/>
    <n v="12"/>
    <n v="9000"/>
    <n v="108000"/>
    <n v="26379"/>
    <x v="1"/>
    <n v="7"/>
    <x v="1"/>
    <n v="4"/>
    <x v="0"/>
    <n v="0"/>
    <n v="1"/>
  </r>
  <r>
    <n v="555"/>
    <d v="2024-11-11T00:00:00"/>
    <x v="1"/>
    <x v="7"/>
    <n v="9"/>
    <n v="12000"/>
    <n v="108000"/>
    <n v="20343"/>
    <x v="1"/>
    <n v="8"/>
    <x v="0"/>
    <n v="3"/>
    <x v="1"/>
    <n v="0"/>
    <n v="0"/>
  </r>
  <r>
    <n v="605"/>
    <d v="2025-04-29T00:00:00"/>
    <x v="6"/>
    <x v="3"/>
    <n v="6"/>
    <n v="18000"/>
    <n v="108000"/>
    <n v="27355"/>
    <x v="0"/>
    <n v="2"/>
    <x v="0"/>
    <n v="6"/>
    <x v="0"/>
    <n v="1"/>
    <n v="0"/>
  </r>
  <r>
    <n v="610"/>
    <d v="2024-03-19T00:00:00"/>
    <x v="3"/>
    <x v="6"/>
    <n v="9"/>
    <n v="12000"/>
    <n v="108000"/>
    <n v="32209"/>
    <x v="0"/>
    <n v="4"/>
    <x v="1"/>
    <n v="4"/>
    <x v="0"/>
    <n v="1"/>
    <n v="1"/>
  </r>
  <r>
    <n v="636"/>
    <d v="2024-11-13T00:00:00"/>
    <x v="4"/>
    <x v="8"/>
    <n v="9"/>
    <n v="12000"/>
    <n v="108000"/>
    <n v="25470"/>
    <x v="0"/>
    <n v="5"/>
    <x v="0"/>
    <n v="3"/>
    <x v="0"/>
    <n v="1"/>
    <n v="0"/>
  </r>
  <r>
    <n v="714"/>
    <d v="2024-10-19T00:00:00"/>
    <x v="4"/>
    <x v="12"/>
    <n v="12"/>
    <n v="9000"/>
    <n v="108000"/>
    <n v="23205"/>
    <x v="1"/>
    <n v="8"/>
    <x v="1"/>
    <n v="2"/>
    <x v="0"/>
    <n v="0"/>
    <n v="1"/>
  </r>
  <r>
    <n v="717"/>
    <d v="2024-10-02T00:00:00"/>
    <x v="6"/>
    <x v="8"/>
    <n v="9"/>
    <n v="12000"/>
    <n v="108000"/>
    <n v="22862"/>
    <x v="0"/>
    <n v="7"/>
    <x v="0"/>
    <n v="4"/>
    <x v="0"/>
    <n v="1"/>
    <n v="0"/>
  </r>
  <r>
    <n v="736"/>
    <d v="2025-03-01T00:00:00"/>
    <x v="4"/>
    <x v="8"/>
    <n v="9"/>
    <n v="12000"/>
    <n v="108000"/>
    <n v="29496"/>
    <x v="1"/>
    <n v="2"/>
    <x v="0"/>
    <n v="8"/>
    <x v="1"/>
    <n v="0"/>
    <n v="0"/>
  </r>
  <r>
    <n v="802"/>
    <d v="2024-10-29T00:00:00"/>
    <x v="4"/>
    <x v="12"/>
    <n v="12"/>
    <n v="9000"/>
    <n v="108000"/>
    <n v="22684"/>
    <x v="1"/>
    <n v="3"/>
    <x v="0"/>
    <n v="7"/>
    <x v="0"/>
    <n v="0"/>
    <n v="0"/>
  </r>
  <r>
    <n v="804"/>
    <d v="2025-10-18T00:00:00"/>
    <x v="4"/>
    <x v="8"/>
    <n v="9"/>
    <n v="12000"/>
    <n v="108000"/>
    <n v="25729"/>
    <x v="1"/>
    <n v="7"/>
    <x v="1"/>
    <n v="4"/>
    <x v="0"/>
    <n v="0"/>
    <n v="1"/>
  </r>
  <r>
    <n v="881"/>
    <d v="2025-02-24T00:00:00"/>
    <x v="4"/>
    <x v="13"/>
    <n v="12"/>
    <n v="9000"/>
    <n v="108000"/>
    <n v="30692"/>
    <x v="0"/>
    <n v="8"/>
    <x v="1"/>
    <n v="1"/>
    <x v="0"/>
    <n v="1"/>
    <n v="1"/>
  </r>
  <r>
    <n v="902"/>
    <d v="2024-06-06T00:00:00"/>
    <x v="0"/>
    <x v="8"/>
    <n v="9"/>
    <n v="12000"/>
    <n v="108000"/>
    <n v="17129"/>
    <x v="1"/>
    <n v="3"/>
    <x v="0"/>
    <n v="7"/>
    <x v="0"/>
    <n v="0"/>
    <n v="0"/>
  </r>
  <r>
    <n v="914"/>
    <d v="2024-04-20T00:00:00"/>
    <x v="1"/>
    <x v="12"/>
    <n v="12"/>
    <n v="9000"/>
    <n v="108000"/>
    <n v="26154"/>
    <x v="1"/>
    <n v="5"/>
    <x v="1"/>
    <n v="3"/>
    <x v="0"/>
    <n v="0"/>
    <n v="1"/>
  </r>
  <r>
    <n v="964"/>
    <d v="2024-08-26T00:00:00"/>
    <x v="3"/>
    <x v="8"/>
    <n v="9"/>
    <n v="12000"/>
    <n v="108000"/>
    <n v="26257"/>
    <x v="0"/>
    <n v="8"/>
    <x v="1"/>
    <n v="1"/>
    <x v="1"/>
    <n v="1"/>
    <n v="1"/>
  </r>
  <r>
    <n v="997"/>
    <d v="2025-06-13T00:00:00"/>
    <x v="2"/>
    <x v="3"/>
    <n v="6"/>
    <n v="18000"/>
    <n v="108000"/>
    <n v="24688"/>
    <x v="0"/>
    <n v="6"/>
    <x v="0"/>
    <n v="5"/>
    <x v="0"/>
    <n v="1"/>
    <n v="0"/>
  </r>
  <r>
    <n v="47"/>
    <d v="2025-09-27T00:00:00"/>
    <x v="6"/>
    <x v="4"/>
    <n v="7"/>
    <n v="15000"/>
    <n v="105000"/>
    <n v="20494"/>
    <x v="1"/>
    <n v="5"/>
    <x v="0"/>
    <n v="4"/>
    <x v="0"/>
    <n v="0"/>
    <n v="0"/>
  </r>
  <r>
    <n v="282"/>
    <d v="2025-11-03T00:00:00"/>
    <x v="6"/>
    <x v="4"/>
    <n v="7"/>
    <n v="15000"/>
    <n v="105000"/>
    <n v="19941"/>
    <x v="1"/>
    <n v="6"/>
    <x v="1"/>
    <n v="4"/>
    <x v="0"/>
    <n v="0"/>
    <n v="1"/>
  </r>
  <r>
    <n v="297"/>
    <d v="2025-10-02T00:00:00"/>
    <x v="0"/>
    <x v="4"/>
    <n v="7"/>
    <n v="15000"/>
    <n v="105000"/>
    <n v="18137"/>
    <x v="1"/>
    <n v="7"/>
    <x v="1"/>
    <n v="1"/>
    <x v="1"/>
    <n v="0"/>
    <n v="1"/>
  </r>
  <r>
    <n v="904"/>
    <d v="2024-02-22T00:00:00"/>
    <x v="0"/>
    <x v="4"/>
    <n v="7"/>
    <n v="15000"/>
    <n v="105000"/>
    <n v="22886"/>
    <x v="1"/>
    <n v="2"/>
    <x v="0"/>
    <n v="8"/>
    <x v="0"/>
    <n v="0"/>
    <n v="0"/>
  </r>
  <r>
    <n v="17"/>
    <d v="2025-09-22T00:00:00"/>
    <x v="5"/>
    <x v="14"/>
    <n v="13"/>
    <n v="8000"/>
    <n v="104000"/>
    <n v="22480"/>
    <x v="0"/>
    <n v="8"/>
    <x v="0"/>
    <n v="1"/>
    <x v="0"/>
    <n v="1"/>
    <n v="0"/>
  </r>
  <r>
    <n v="756"/>
    <d v="2024-10-24T00:00:00"/>
    <x v="0"/>
    <x v="14"/>
    <n v="13"/>
    <n v="8000"/>
    <n v="104000"/>
    <n v="19455"/>
    <x v="1"/>
    <n v="7"/>
    <x v="1"/>
    <n v="2"/>
    <x v="0"/>
    <n v="0"/>
    <n v="1"/>
  </r>
  <r>
    <n v="798"/>
    <d v="2025-03-01T00:00:00"/>
    <x v="0"/>
    <x v="14"/>
    <n v="13"/>
    <n v="8000"/>
    <n v="104000"/>
    <n v="24920"/>
    <x v="0"/>
    <n v="8"/>
    <x v="1"/>
    <n v="1"/>
    <x v="0"/>
    <n v="1"/>
    <n v="1"/>
  </r>
  <r>
    <n v="94"/>
    <d v="2024-01-09T00:00:00"/>
    <x v="4"/>
    <x v="10"/>
    <n v="10"/>
    <n v="10000"/>
    <n v="100000"/>
    <n v="25694"/>
    <x v="1"/>
    <n v="5"/>
    <x v="0"/>
    <n v="6"/>
    <x v="0"/>
    <n v="0"/>
    <n v="0"/>
  </r>
  <r>
    <n v="121"/>
    <d v="2025-08-29T00:00:00"/>
    <x v="5"/>
    <x v="0"/>
    <n v="4"/>
    <n v="25000"/>
    <n v="100000"/>
    <n v="16086"/>
    <x v="1"/>
    <n v="7"/>
    <x v="1"/>
    <n v="1"/>
    <x v="1"/>
    <n v="0"/>
    <n v="1"/>
  </r>
  <r>
    <n v="377"/>
    <d v="2025-11-07T00:00:00"/>
    <x v="2"/>
    <x v="0"/>
    <n v="4"/>
    <n v="25000"/>
    <n v="100000"/>
    <n v="16896"/>
    <x v="1"/>
    <n v="7"/>
    <x v="1"/>
    <n v="2"/>
    <x v="0"/>
    <n v="0"/>
    <n v="1"/>
  </r>
  <r>
    <n v="464"/>
    <d v="2024-08-14T00:00:00"/>
    <x v="4"/>
    <x v="10"/>
    <n v="10"/>
    <n v="10000"/>
    <n v="100000"/>
    <n v="20205"/>
    <x v="1"/>
    <n v="5"/>
    <x v="1"/>
    <n v="3"/>
    <x v="0"/>
    <n v="0"/>
    <n v="1"/>
  </r>
  <r>
    <n v="597"/>
    <d v="2025-04-15T00:00:00"/>
    <x v="6"/>
    <x v="2"/>
    <n v="5"/>
    <n v="20000"/>
    <n v="100000"/>
    <n v="24663"/>
    <x v="1"/>
    <n v="5"/>
    <x v="0"/>
    <n v="3"/>
    <x v="0"/>
    <n v="0"/>
    <n v="0"/>
  </r>
  <r>
    <n v="713"/>
    <d v="2024-08-07T00:00:00"/>
    <x v="2"/>
    <x v="2"/>
    <n v="5"/>
    <n v="20000"/>
    <n v="100000"/>
    <n v="20773"/>
    <x v="0"/>
    <n v="5"/>
    <x v="0"/>
    <n v="5"/>
    <x v="0"/>
    <n v="1"/>
    <n v="0"/>
  </r>
  <r>
    <n v="800"/>
    <d v="2025-03-05T00:00:00"/>
    <x v="4"/>
    <x v="10"/>
    <n v="10"/>
    <n v="10000"/>
    <n v="100000"/>
    <n v="18515"/>
    <x v="1"/>
    <n v="7"/>
    <x v="0"/>
    <n v="3"/>
    <x v="0"/>
    <n v="0"/>
    <n v="0"/>
  </r>
  <r>
    <n v="978"/>
    <d v="2025-11-10T00:00:00"/>
    <x v="2"/>
    <x v="10"/>
    <n v="10"/>
    <n v="10000"/>
    <n v="100000"/>
    <n v="27138"/>
    <x v="1"/>
    <n v="7"/>
    <x v="1"/>
    <n v="2"/>
    <x v="0"/>
    <n v="0"/>
    <n v="1"/>
  </r>
  <r>
    <n v="242"/>
    <d v="2025-09-20T00:00:00"/>
    <x v="6"/>
    <x v="12"/>
    <n v="11"/>
    <n v="9000"/>
    <n v="99000"/>
    <n v="18221"/>
    <x v="1"/>
    <n v="6"/>
    <x v="1"/>
    <n v="4"/>
    <x v="0"/>
    <n v="0"/>
    <n v="1"/>
  </r>
  <r>
    <n v="431"/>
    <d v="2025-08-09T00:00:00"/>
    <x v="6"/>
    <x v="13"/>
    <n v="11"/>
    <n v="9000"/>
    <n v="99000"/>
    <n v="25150"/>
    <x v="0"/>
    <n v="4"/>
    <x v="0"/>
    <n v="6"/>
    <x v="0"/>
    <n v="1"/>
    <n v="0"/>
  </r>
  <r>
    <n v="566"/>
    <d v="2024-05-27T00:00:00"/>
    <x v="0"/>
    <x v="12"/>
    <n v="11"/>
    <n v="9000"/>
    <n v="99000"/>
    <n v="28859"/>
    <x v="1"/>
    <n v="3"/>
    <x v="0"/>
    <n v="5"/>
    <x v="0"/>
    <n v="0"/>
    <n v="0"/>
  </r>
  <r>
    <n v="731"/>
    <d v="2025-03-18T00:00:00"/>
    <x v="2"/>
    <x v="9"/>
    <n v="9"/>
    <n v="11000"/>
    <n v="99000"/>
    <n v="18724"/>
    <x v="0"/>
    <n v="5"/>
    <x v="0"/>
    <n v="6"/>
    <x v="0"/>
    <n v="1"/>
    <n v="0"/>
  </r>
  <r>
    <n v="855"/>
    <d v="2024-08-05T00:00:00"/>
    <x v="5"/>
    <x v="9"/>
    <n v="9"/>
    <n v="11000"/>
    <n v="99000"/>
    <n v="24802"/>
    <x v="1"/>
    <n v="4"/>
    <x v="1"/>
    <n v="4"/>
    <x v="0"/>
    <n v="0"/>
    <n v="1"/>
  </r>
  <r>
    <n v="888"/>
    <d v="2024-11-27T00:00:00"/>
    <x v="4"/>
    <x v="12"/>
    <n v="11"/>
    <n v="9000"/>
    <n v="99000"/>
    <n v="21206"/>
    <x v="0"/>
    <n v="6"/>
    <x v="1"/>
    <n v="2"/>
    <x v="0"/>
    <n v="1"/>
    <n v="1"/>
  </r>
  <r>
    <n v="24"/>
    <d v="2024-07-03T00:00:00"/>
    <x v="3"/>
    <x v="15"/>
    <n v="14"/>
    <n v="7000"/>
    <n v="98000"/>
    <n v="21863"/>
    <x v="0"/>
    <n v="6"/>
    <x v="1"/>
    <n v="4"/>
    <x v="0"/>
    <n v="1"/>
    <n v="1"/>
  </r>
  <r>
    <n v="72"/>
    <d v="2024-09-20T00:00:00"/>
    <x v="0"/>
    <x v="15"/>
    <n v="14"/>
    <n v="7000"/>
    <n v="98000"/>
    <n v="20263"/>
    <x v="0"/>
    <n v="4"/>
    <x v="1"/>
    <n v="4"/>
    <x v="0"/>
    <n v="1"/>
    <n v="1"/>
  </r>
  <r>
    <n v="171"/>
    <d v="2025-01-14T00:00:00"/>
    <x v="4"/>
    <x v="5"/>
    <n v="7"/>
    <n v="14000"/>
    <n v="98000"/>
    <n v="21633"/>
    <x v="0"/>
    <n v="5"/>
    <x v="0"/>
    <n v="3"/>
    <x v="1"/>
    <n v="1"/>
    <n v="0"/>
  </r>
  <r>
    <n v="396"/>
    <d v="2024-03-07T00:00:00"/>
    <x v="4"/>
    <x v="5"/>
    <n v="7"/>
    <n v="14000"/>
    <n v="98000"/>
    <n v="21237"/>
    <x v="1"/>
    <n v="8"/>
    <x v="1"/>
    <n v="3"/>
    <x v="0"/>
    <n v="0"/>
    <n v="1"/>
  </r>
  <r>
    <n v="402"/>
    <d v="2025-06-01T00:00:00"/>
    <x v="1"/>
    <x v="16"/>
    <n v="14"/>
    <n v="7000"/>
    <n v="98000"/>
    <n v="16269"/>
    <x v="0"/>
    <n v="8"/>
    <x v="1"/>
    <n v="1"/>
    <x v="0"/>
    <n v="1"/>
    <n v="1"/>
  </r>
  <r>
    <n v="458"/>
    <d v="2024-08-08T00:00:00"/>
    <x v="1"/>
    <x v="16"/>
    <n v="14"/>
    <n v="7000"/>
    <n v="98000"/>
    <n v="22665"/>
    <x v="0"/>
    <n v="5"/>
    <x v="0"/>
    <n v="6"/>
    <x v="0"/>
    <n v="1"/>
    <n v="0"/>
  </r>
  <r>
    <n v="479"/>
    <d v="2025-02-25T00:00:00"/>
    <x v="5"/>
    <x v="16"/>
    <n v="14"/>
    <n v="7000"/>
    <n v="98000"/>
    <n v="25537"/>
    <x v="0"/>
    <n v="8"/>
    <x v="1"/>
    <n v="1"/>
    <x v="0"/>
    <n v="1"/>
    <n v="1"/>
  </r>
  <r>
    <n v="906"/>
    <d v="2024-04-06T00:00:00"/>
    <x v="2"/>
    <x v="17"/>
    <n v="14"/>
    <n v="7000"/>
    <n v="98000"/>
    <n v="18209"/>
    <x v="1"/>
    <n v="7"/>
    <x v="0"/>
    <n v="4"/>
    <x v="0"/>
    <n v="0"/>
    <n v="0"/>
  </r>
  <r>
    <n v="995"/>
    <d v="2024-03-08T00:00:00"/>
    <x v="2"/>
    <x v="5"/>
    <n v="7"/>
    <n v="14000"/>
    <n v="98000"/>
    <n v="24083"/>
    <x v="1"/>
    <n v="2"/>
    <x v="0"/>
    <n v="7"/>
    <x v="0"/>
    <n v="0"/>
    <n v="0"/>
  </r>
  <r>
    <n v="73"/>
    <d v="2024-01-11T00:00:00"/>
    <x v="6"/>
    <x v="14"/>
    <n v="12"/>
    <n v="8000"/>
    <n v="96000"/>
    <n v="26393"/>
    <x v="0"/>
    <n v="9"/>
    <x v="1"/>
    <n v="1"/>
    <x v="0"/>
    <n v="1"/>
    <n v="1"/>
  </r>
  <r>
    <n v="177"/>
    <d v="2025-01-15T00:00:00"/>
    <x v="1"/>
    <x v="6"/>
    <n v="8"/>
    <n v="12000"/>
    <n v="96000"/>
    <n v="23830"/>
    <x v="1"/>
    <n v="2"/>
    <x v="0"/>
    <n v="9"/>
    <x v="0"/>
    <n v="0"/>
    <n v="0"/>
  </r>
  <r>
    <n v="268"/>
    <d v="2025-11-17T00:00:00"/>
    <x v="4"/>
    <x v="14"/>
    <n v="12"/>
    <n v="8000"/>
    <n v="96000"/>
    <n v="21282"/>
    <x v="1"/>
    <n v="9"/>
    <x v="1"/>
    <n v="1"/>
    <x v="0"/>
    <n v="0"/>
    <n v="1"/>
  </r>
  <r>
    <n v="300"/>
    <d v="2025-10-04T00:00:00"/>
    <x v="4"/>
    <x v="14"/>
    <n v="12"/>
    <n v="8000"/>
    <n v="96000"/>
    <n v="20432"/>
    <x v="1"/>
    <n v="8"/>
    <x v="0"/>
    <n v="2"/>
    <x v="0"/>
    <n v="0"/>
    <n v="0"/>
  </r>
  <r>
    <n v="387"/>
    <d v="2025-04-29T00:00:00"/>
    <x v="6"/>
    <x v="8"/>
    <n v="8"/>
    <n v="12000"/>
    <n v="96000"/>
    <n v="26698"/>
    <x v="1"/>
    <n v="7"/>
    <x v="1"/>
    <n v="1"/>
    <x v="0"/>
    <n v="0"/>
    <n v="1"/>
  </r>
  <r>
    <n v="520"/>
    <d v="2024-09-06T00:00:00"/>
    <x v="4"/>
    <x v="14"/>
    <n v="12"/>
    <n v="8000"/>
    <n v="96000"/>
    <n v="26512"/>
    <x v="1"/>
    <n v="7"/>
    <x v="0"/>
    <n v="2"/>
    <x v="0"/>
    <n v="0"/>
    <n v="0"/>
  </r>
  <r>
    <n v="700"/>
    <d v="2025-07-16T00:00:00"/>
    <x v="2"/>
    <x v="8"/>
    <n v="8"/>
    <n v="12000"/>
    <n v="96000"/>
    <n v="26347"/>
    <x v="0"/>
    <n v="4"/>
    <x v="0"/>
    <n v="7"/>
    <x v="1"/>
    <n v="1"/>
    <n v="0"/>
  </r>
  <r>
    <n v="722"/>
    <d v="2024-06-02T00:00:00"/>
    <x v="6"/>
    <x v="7"/>
    <n v="8"/>
    <n v="12000"/>
    <n v="96000"/>
    <n v="20468"/>
    <x v="1"/>
    <n v="4"/>
    <x v="1"/>
    <n v="5"/>
    <x v="0"/>
    <n v="0"/>
    <n v="1"/>
  </r>
  <r>
    <n v="752"/>
    <d v="2025-01-28T00:00:00"/>
    <x v="0"/>
    <x v="7"/>
    <n v="8"/>
    <n v="12000"/>
    <n v="96000"/>
    <n v="24393"/>
    <x v="0"/>
    <n v="2"/>
    <x v="0"/>
    <n v="8"/>
    <x v="0"/>
    <n v="1"/>
    <n v="0"/>
  </r>
  <r>
    <n v="931"/>
    <d v="2024-01-02T00:00:00"/>
    <x v="6"/>
    <x v="7"/>
    <n v="8"/>
    <n v="12000"/>
    <n v="96000"/>
    <n v="14790"/>
    <x v="1"/>
    <n v="2"/>
    <x v="0"/>
    <n v="7"/>
    <x v="0"/>
    <n v="0"/>
    <n v="0"/>
  </r>
  <r>
    <n v="9"/>
    <d v="2025-02-09T00:00:00"/>
    <x v="1"/>
    <x v="17"/>
    <n v="13"/>
    <n v="7000"/>
    <n v="91000"/>
    <n v="26680"/>
    <x v="1"/>
    <n v="5"/>
    <x v="0"/>
    <n v="6"/>
    <x v="0"/>
    <n v="0"/>
    <n v="0"/>
  </r>
  <r>
    <n v="163"/>
    <d v="2024-05-07T00:00:00"/>
    <x v="6"/>
    <x v="17"/>
    <n v="13"/>
    <n v="7000"/>
    <n v="91000"/>
    <n v="23674"/>
    <x v="0"/>
    <n v="8"/>
    <x v="1"/>
    <n v="2"/>
    <x v="0"/>
    <n v="1"/>
    <n v="1"/>
  </r>
  <r>
    <n v="271"/>
    <d v="2024-04-14T00:00:00"/>
    <x v="4"/>
    <x v="16"/>
    <n v="13"/>
    <n v="7000"/>
    <n v="91000"/>
    <n v="25573"/>
    <x v="1"/>
    <n v="8"/>
    <x v="0"/>
    <n v="1"/>
    <x v="0"/>
    <n v="0"/>
    <n v="0"/>
  </r>
  <r>
    <n v="280"/>
    <d v="2024-08-21T00:00:00"/>
    <x v="1"/>
    <x v="17"/>
    <n v="13"/>
    <n v="7000"/>
    <n v="91000"/>
    <n v="23056"/>
    <x v="1"/>
    <n v="5"/>
    <x v="0"/>
    <n v="4"/>
    <x v="0"/>
    <n v="0"/>
    <n v="0"/>
  </r>
  <r>
    <n v="428"/>
    <d v="2024-10-10T00:00:00"/>
    <x v="6"/>
    <x v="17"/>
    <n v="13"/>
    <n v="7000"/>
    <n v="91000"/>
    <n v="21451"/>
    <x v="1"/>
    <n v="9"/>
    <x v="1"/>
    <n v="1"/>
    <x v="1"/>
    <n v="0"/>
    <n v="1"/>
  </r>
  <r>
    <n v="652"/>
    <d v="2024-11-06T00:00:00"/>
    <x v="3"/>
    <x v="15"/>
    <n v="13"/>
    <n v="7000"/>
    <n v="91000"/>
    <n v="26750"/>
    <x v="1"/>
    <n v="7"/>
    <x v="1"/>
    <n v="2"/>
    <x v="0"/>
    <n v="0"/>
    <n v="1"/>
  </r>
  <r>
    <n v="708"/>
    <d v="2025-01-28T00:00:00"/>
    <x v="1"/>
    <x v="17"/>
    <n v="13"/>
    <n v="7000"/>
    <n v="91000"/>
    <n v="18166"/>
    <x v="1"/>
    <n v="3"/>
    <x v="0"/>
    <n v="5"/>
    <x v="0"/>
    <n v="0"/>
    <n v="0"/>
  </r>
  <r>
    <n v="738"/>
    <d v="2025-01-23T00:00:00"/>
    <x v="0"/>
    <x v="15"/>
    <n v="13"/>
    <n v="7000"/>
    <n v="91000"/>
    <n v="25370"/>
    <x v="0"/>
    <n v="6"/>
    <x v="1"/>
    <n v="3"/>
    <x v="0"/>
    <n v="1"/>
    <n v="1"/>
  </r>
  <r>
    <n v="762"/>
    <d v="2024-02-10T00:00:00"/>
    <x v="6"/>
    <x v="15"/>
    <n v="13"/>
    <n v="7000"/>
    <n v="91000"/>
    <n v="15347"/>
    <x v="1"/>
    <n v="7"/>
    <x v="1"/>
    <n v="1"/>
    <x v="0"/>
    <n v="0"/>
    <n v="1"/>
  </r>
  <r>
    <n v="765"/>
    <d v="2025-09-08T00:00:00"/>
    <x v="4"/>
    <x v="17"/>
    <n v="13"/>
    <n v="7000"/>
    <n v="91000"/>
    <n v="17574"/>
    <x v="1"/>
    <n v="5"/>
    <x v="1"/>
    <n v="5"/>
    <x v="1"/>
    <n v="0"/>
    <n v="1"/>
  </r>
  <r>
    <n v="98"/>
    <d v="2024-01-19T00:00:00"/>
    <x v="0"/>
    <x v="11"/>
    <n v="9"/>
    <n v="10000"/>
    <n v="90000"/>
    <n v="25615"/>
    <x v="1"/>
    <n v="5"/>
    <x v="0"/>
    <n v="6"/>
    <x v="0"/>
    <n v="0"/>
    <n v="0"/>
  </r>
  <r>
    <n v="120"/>
    <d v="2024-12-16T00:00:00"/>
    <x v="0"/>
    <x v="4"/>
    <n v="6"/>
    <n v="15000"/>
    <n v="90000"/>
    <n v="19759"/>
    <x v="1"/>
    <n v="3"/>
    <x v="0"/>
    <n v="8"/>
    <x v="0"/>
    <n v="0"/>
    <n v="0"/>
  </r>
  <r>
    <n v="127"/>
    <d v="2025-06-19T00:00:00"/>
    <x v="3"/>
    <x v="12"/>
    <n v="10"/>
    <n v="9000"/>
    <n v="90000"/>
    <n v="18532"/>
    <x v="1"/>
    <n v="9"/>
    <x v="1"/>
    <n v="1"/>
    <x v="0"/>
    <n v="0"/>
    <n v="1"/>
  </r>
  <r>
    <n v="182"/>
    <d v="2025-06-30T00:00:00"/>
    <x v="6"/>
    <x v="13"/>
    <n v="10"/>
    <n v="9000"/>
    <n v="90000"/>
    <n v="17526"/>
    <x v="1"/>
    <n v="3"/>
    <x v="0"/>
    <n v="8"/>
    <x v="0"/>
    <n v="0"/>
    <n v="0"/>
  </r>
  <r>
    <n v="253"/>
    <d v="2024-10-17T00:00:00"/>
    <x v="2"/>
    <x v="10"/>
    <n v="9"/>
    <n v="10000"/>
    <n v="90000"/>
    <n v="25515"/>
    <x v="0"/>
    <n v="6"/>
    <x v="1"/>
    <n v="3"/>
    <x v="0"/>
    <n v="1"/>
    <n v="1"/>
  </r>
  <r>
    <n v="305"/>
    <d v="2025-02-08T00:00:00"/>
    <x v="2"/>
    <x v="11"/>
    <n v="9"/>
    <n v="10000"/>
    <n v="90000"/>
    <n v="22770"/>
    <x v="0"/>
    <n v="6"/>
    <x v="1"/>
    <n v="4"/>
    <x v="0"/>
    <n v="1"/>
    <n v="1"/>
  </r>
  <r>
    <n v="339"/>
    <d v="2025-03-07T00:00:00"/>
    <x v="1"/>
    <x v="13"/>
    <n v="10"/>
    <n v="9000"/>
    <n v="90000"/>
    <n v="19256"/>
    <x v="1"/>
    <n v="8"/>
    <x v="1"/>
    <n v="1"/>
    <x v="0"/>
    <n v="0"/>
    <n v="1"/>
  </r>
  <r>
    <n v="583"/>
    <d v="2025-08-24T00:00:00"/>
    <x v="0"/>
    <x v="3"/>
    <n v="5"/>
    <n v="18000"/>
    <n v="90000"/>
    <n v="21960"/>
    <x v="0"/>
    <n v="3"/>
    <x v="0"/>
    <n v="8"/>
    <x v="0"/>
    <n v="1"/>
    <n v="0"/>
  </r>
  <r>
    <n v="589"/>
    <d v="2025-05-05T00:00:00"/>
    <x v="1"/>
    <x v="10"/>
    <n v="9"/>
    <n v="10000"/>
    <n v="90000"/>
    <n v="21119"/>
    <x v="0"/>
    <n v="2"/>
    <x v="0"/>
    <n v="8"/>
    <x v="0"/>
    <n v="1"/>
    <n v="0"/>
  </r>
  <r>
    <n v="593"/>
    <d v="2024-12-01T00:00:00"/>
    <x v="4"/>
    <x v="13"/>
    <n v="10"/>
    <n v="9000"/>
    <n v="90000"/>
    <n v="15659"/>
    <x v="0"/>
    <n v="3"/>
    <x v="0"/>
    <n v="7"/>
    <x v="1"/>
    <n v="1"/>
    <n v="0"/>
  </r>
  <r>
    <n v="823"/>
    <d v="2024-10-27T00:00:00"/>
    <x v="3"/>
    <x v="12"/>
    <n v="10"/>
    <n v="9000"/>
    <n v="90000"/>
    <n v="24079"/>
    <x v="1"/>
    <n v="5"/>
    <x v="1"/>
    <n v="3"/>
    <x v="0"/>
    <n v="0"/>
    <n v="1"/>
  </r>
  <r>
    <n v="829"/>
    <d v="2025-07-11T00:00:00"/>
    <x v="2"/>
    <x v="13"/>
    <n v="10"/>
    <n v="9000"/>
    <n v="90000"/>
    <n v="22135"/>
    <x v="1"/>
    <n v="6"/>
    <x v="1"/>
    <n v="5"/>
    <x v="0"/>
    <n v="0"/>
    <n v="1"/>
  </r>
  <r>
    <n v="869"/>
    <d v="2024-08-28T00:00:00"/>
    <x v="2"/>
    <x v="12"/>
    <n v="10"/>
    <n v="9000"/>
    <n v="90000"/>
    <n v="21629"/>
    <x v="0"/>
    <n v="6"/>
    <x v="1"/>
    <n v="4"/>
    <x v="0"/>
    <n v="1"/>
    <n v="1"/>
  </r>
  <r>
    <n v="969"/>
    <d v="2024-08-24T00:00:00"/>
    <x v="6"/>
    <x v="11"/>
    <n v="9"/>
    <n v="10000"/>
    <n v="90000"/>
    <n v="14327"/>
    <x v="1"/>
    <n v="3"/>
    <x v="1"/>
    <n v="7"/>
    <x v="1"/>
    <n v="0"/>
    <n v="1"/>
  </r>
  <r>
    <n v="63"/>
    <d v="2025-10-18T00:00:00"/>
    <x v="1"/>
    <x v="9"/>
    <n v="8"/>
    <n v="11000"/>
    <n v="88000"/>
    <n v="25964"/>
    <x v="1"/>
    <n v="4"/>
    <x v="0"/>
    <n v="5"/>
    <x v="0"/>
    <n v="0"/>
    <n v="0"/>
  </r>
  <r>
    <n v="197"/>
    <d v="2025-06-25T00:00:00"/>
    <x v="2"/>
    <x v="14"/>
    <n v="11"/>
    <n v="8000"/>
    <n v="88000"/>
    <n v="18419"/>
    <x v="1"/>
    <n v="3"/>
    <x v="0"/>
    <n v="7"/>
    <x v="0"/>
    <n v="0"/>
    <n v="0"/>
  </r>
  <r>
    <n v="491"/>
    <d v="2024-04-17T00:00:00"/>
    <x v="0"/>
    <x v="1"/>
    <n v="4"/>
    <n v="22000"/>
    <n v="88000"/>
    <n v="16843"/>
    <x v="0"/>
    <n v="6"/>
    <x v="0"/>
    <n v="2"/>
    <x v="1"/>
    <n v="1"/>
    <n v="0"/>
  </r>
  <r>
    <n v="570"/>
    <d v="2025-08-23T00:00:00"/>
    <x v="4"/>
    <x v="1"/>
    <n v="4"/>
    <n v="22000"/>
    <n v="88000"/>
    <n v="22694"/>
    <x v="0"/>
    <n v="3"/>
    <x v="1"/>
    <n v="6"/>
    <x v="0"/>
    <n v="1"/>
    <n v="1"/>
  </r>
  <r>
    <n v="661"/>
    <d v="2024-11-14T00:00:00"/>
    <x v="2"/>
    <x v="1"/>
    <n v="4"/>
    <n v="22000"/>
    <n v="88000"/>
    <n v="21035"/>
    <x v="1"/>
    <n v="3"/>
    <x v="1"/>
    <n v="8"/>
    <x v="0"/>
    <n v="0"/>
    <n v="1"/>
  </r>
  <r>
    <n v="151"/>
    <d v="2025-01-17T00:00:00"/>
    <x v="5"/>
    <x v="8"/>
    <n v="7"/>
    <n v="12000"/>
    <n v="84000"/>
    <n v="21237"/>
    <x v="0"/>
    <n v="7"/>
    <x v="0"/>
    <n v="2"/>
    <x v="0"/>
    <n v="1"/>
    <n v="0"/>
  </r>
  <r>
    <n v="173"/>
    <d v="2024-01-25T00:00:00"/>
    <x v="6"/>
    <x v="5"/>
    <n v="6"/>
    <n v="14000"/>
    <n v="84000"/>
    <n v="13815"/>
    <x v="1"/>
    <n v="7"/>
    <x v="1"/>
    <n v="4"/>
    <x v="1"/>
    <n v="0"/>
    <n v="1"/>
  </r>
  <r>
    <n v="204"/>
    <d v="2024-10-31T00:00:00"/>
    <x v="4"/>
    <x v="15"/>
    <n v="12"/>
    <n v="7000"/>
    <n v="84000"/>
    <n v="18460"/>
    <x v="0"/>
    <n v="8"/>
    <x v="0"/>
    <n v="1"/>
    <x v="1"/>
    <n v="1"/>
    <n v="0"/>
  </r>
  <r>
    <n v="206"/>
    <d v="2024-01-29T00:00:00"/>
    <x v="1"/>
    <x v="16"/>
    <n v="12"/>
    <n v="7000"/>
    <n v="84000"/>
    <n v="22828"/>
    <x v="0"/>
    <n v="8"/>
    <x v="1"/>
    <n v="1"/>
    <x v="0"/>
    <n v="1"/>
    <n v="1"/>
  </r>
  <r>
    <n v="233"/>
    <d v="2024-06-07T00:00:00"/>
    <x v="1"/>
    <x v="8"/>
    <n v="7"/>
    <n v="12000"/>
    <n v="84000"/>
    <n v="15700"/>
    <x v="1"/>
    <n v="8"/>
    <x v="0"/>
    <n v="2"/>
    <x v="0"/>
    <n v="0"/>
    <n v="0"/>
  </r>
  <r>
    <n v="250"/>
    <d v="2025-11-23T00:00:00"/>
    <x v="6"/>
    <x v="16"/>
    <n v="12"/>
    <n v="7000"/>
    <n v="84000"/>
    <n v="25117"/>
    <x v="0"/>
    <n v="4"/>
    <x v="0"/>
    <n v="7"/>
    <x v="1"/>
    <n v="1"/>
    <n v="0"/>
  </r>
  <r>
    <n v="332"/>
    <d v="2024-06-09T00:00:00"/>
    <x v="6"/>
    <x v="8"/>
    <n v="7"/>
    <n v="12000"/>
    <n v="84000"/>
    <n v="18009"/>
    <x v="1"/>
    <n v="3"/>
    <x v="0"/>
    <n v="7"/>
    <x v="0"/>
    <n v="0"/>
    <n v="0"/>
  </r>
  <r>
    <n v="337"/>
    <d v="2025-06-04T00:00:00"/>
    <x v="1"/>
    <x v="5"/>
    <n v="6"/>
    <n v="14000"/>
    <n v="84000"/>
    <n v="17480"/>
    <x v="1"/>
    <n v="3"/>
    <x v="0"/>
    <n v="7"/>
    <x v="0"/>
    <n v="0"/>
    <n v="0"/>
  </r>
  <r>
    <n v="361"/>
    <d v="2024-01-03T00:00:00"/>
    <x v="0"/>
    <x v="17"/>
    <n v="12"/>
    <n v="7000"/>
    <n v="84000"/>
    <n v="17526"/>
    <x v="1"/>
    <n v="8"/>
    <x v="0"/>
    <n v="1"/>
    <x v="0"/>
    <n v="0"/>
    <n v="0"/>
  </r>
  <r>
    <n v="363"/>
    <d v="2024-12-04T00:00:00"/>
    <x v="6"/>
    <x v="15"/>
    <n v="12"/>
    <n v="7000"/>
    <n v="84000"/>
    <n v="18164"/>
    <x v="1"/>
    <n v="7"/>
    <x v="1"/>
    <n v="4"/>
    <x v="1"/>
    <n v="0"/>
    <n v="1"/>
  </r>
  <r>
    <n v="370"/>
    <d v="2024-02-27T00:00:00"/>
    <x v="1"/>
    <x v="17"/>
    <n v="12"/>
    <n v="7000"/>
    <n v="84000"/>
    <n v="21318"/>
    <x v="0"/>
    <n v="4"/>
    <x v="0"/>
    <n v="6"/>
    <x v="1"/>
    <n v="1"/>
    <n v="0"/>
  </r>
  <r>
    <n v="406"/>
    <d v="2024-01-18T00:00:00"/>
    <x v="4"/>
    <x v="16"/>
    <n v="12"/>
    <n v="7000"/>
    <n v="84000"/>
    <n v="22850"/>
    <x v="1"/>
    <n v="4"/>
    <x v="0"/>
    <n v="6"/>
    <x v="1"/>
    <n v="0"/>
    <n v="0"/>
  </r>
  <r>
    <n v="419"/>
    <d v="2025-08-08T00:00:00"/>
    <x v="2"/>
    <x v="8"/>
    <n v="7"/>
    <n v="12000"/>
    <n v="84000"/>
    <n v="16382"/>
    <x v="1"/>
    <n v="3"/>
    <x v="1"/>
    <n v="5"/>
    <x v="0"/>
    <n v="0"/>
    <n v="1"/>
  </r>
  <r>
    <n v="454"/>
    <d v="2025-06-10T00:00:00"/>
    <x v="5"/>
    <x v="18"/>
    <n v="14"/>
    <n v="6000"/>
    <n v="84000"/>
    <n v="13876"/>
    <x v="1"/>
    <n v="5"/>
    <x v="1"/>
    <n v="4"/>
    <x v="1"/>
    <n v="0"/>
    <n v="1"/>
  </r>
  <r>
    <n v="469"/>
    <d v="2024-11-14T00:00:00"/>
    <x v="2"/>
    <x v="7"/>
    <n v="7"/>
    <n v="12000"/>
    <n v="84000"/>
    <n v="22738"/>
    <x v="1"/>
    <n v="2"/>
    <x v="0"/>
    <n v="7"/>
    <x v="1"/>
    <n v="0"/>
    <n v="0"/>
  </r>
  <r>
    <n v="509"/>
    <d v="2024-07-24T00:00:00"/>
    <x v="6"/>
    <x v="16"/>
    <n v="12"/>
    <n v="7000"/>
    <n v="84000"/>
    <n v="18368"/>
    <x v="1"/>
    <n v="3"/>
    <x v="0"/>
    <n v="6"/>
    <x v="0"/>
    <n v="0"/>
    <n v="0"/>
  </r>
  <r>
    <n v="515"/>
    <d v="2024-03-10T00:00:00"/>
    <x v="3"/>
    <x v="6"/>
    <n v="7"/>
    <n v="12000"/>
    <n v="84000"/>
    <n v="24372"/>
    <x v="1"/>
    <n v="2"/>
    <x v="0"/>
    <n v="9"/>
    <x v="0"/>
    <n v="0"/>
    <n v="0"/>
  </r>
  <r>
    <n v="519"/>
    <d v="2025-05-04T00:00:00"/>
    <x v="5"/>
    <x v="15"/>
    <n v="12"/>
    <n v="7000"/>
    <n v="84000"/>
    <n v="23029"/>
    <x v="0"/>
    <n v="7"/>
    <x v="1"/>
    <n v="4"/>
    <x v="0"/>
    <n v="1"/>
    <n v="1"/>
  </r>
  <r>
    <n v="528"/>
    <d v="2025-08-15T00:00:00"/>
    <x v="3"/>
    <x v="8"/>
    <n v="7"/>
    <n v="12000"/>
    <n v="84000"/>
    <n v="13361"/>
    <x v="0"/>
    <n v="4"/>
    <x v="0"/>
    <n v="5"/>
    <x v="1"/>
    <n v="1"/>
    <n v="0"/>
  </r>
  <r>
    <n v="545"/>
    <d v="2025-05-06T00:00:00"/>
    <x v="1"/>
    <x v="7"/>
    <n v="7"/>
    <n v="12000"/>
    <n v="84000"/>
    <n v="15532"/>
    <x v="1"/>
    <n v="6"/>
    <x v="0"/>
    <n v="5"/>
    <x v="1"/>
    <n v="0"/>
    <n v="0"/>
  </r>
  <r>
    <n v="558"/>
    <d v="2024-11-03T00:00:00"/>
    <x v="0"/>
    <x v="5"/>
    <n v="6"/>
    <n v="14000"/>
    <n v="84000"/>
    <n v="15813"/>
    <x v="0"/>
    <n v="2"/>
    <x v="0"/>
    <n v="8"/>
    <x v="0"/>
    <n v="1"/>
    <n v="0"/>
  </r>
  <r>
    <n v="573"/>
    <d v="2025-08-07T00:00:00"/>
    <x v="4"/>
    <x v="6"/>
    <n v="7"/>
    <n v="12000"/>
    <n v="84000"/>
    <n v="16605"/>
    <x v="0"/>
    <n v="6"/>
    <x v="0"/>
    <n v="3"/>
    <x v="1"/>
    <n v="1"/>
    <n v="0"/>
  </r>
  <r>
    <n v="669"/>
    <d v="2025-04-13T00:00:00"/>
    <x v="4"/>
    <x v="16"/>
    <n v="12"/>
    <n v="7000"/>
    <n v="84000"/>
    <n v="21026"/>
    <x v="1"/>
    <n v="3"/>
    <x v="1"/>
    <n v="5"/>
    <x v="0"/>
    <n v="0"/>
    <n v="1"/>
  </r>
  <r>
    <n v="676"/>
    <d v="2025-09-28T00:00:00"/>
    <x v="6"/>
    <x v="6"/>
    <n v="7"/>
    <n v="12000"/>
    <n v="84000"/>
    <n v="15957"/>
    <x v="1"/>
    <n v="4"/>
    <x v="0"/>
    <n v="6"/>
    <x v="0"/>
    <n v="0"/>
    <n v="0"/>
  </r>
  <r>
    <n v="726"/>
    <d v="2025-11-15T00:00:00"/>
    <x v="2"/>
    <x v="8"/>
    <n v="7"/>
    <n v="12000"/>
    <n v="84000"/>
    <n v="18435"/>
    <x v="0"/>
    <n v="5"/>
    <x v="1"/>
    <n v="5"/>
    <x v="0"/>
    <n v="1"/>
    <n v="1"/>
  </r>
  <r>
    <n v="787"/>
    <d v="2025-06-20T00:00:00"/>
    <x v="6"/>
    <x v="18"/>
    <n v="14"/>
    <n v="6000"/>
    <n v="84000"/>
    <n v="21789"/>
    <x v="0"/>
    <n v="9"/>
    <x v="1"/>
    <n v="1"/>
    <x v="0"/>
    <n v="1"/>
    <n v="1"/>
  </r>
  <r>
    <n v="809"/>
    <d v="2025-03-07T00:00:00"/>
    <x v="2"/>
    <x v="6"/>
    <n v="7"/>
    <n v="12000"/>
    <n v="84000"/>
    <n v="14703"/>
    <x v="1"/>
    <n v="7"/>
    <x v="1"/>
    <n v="4"/>
    <x v="1"/>
    <n v="0"/>
    <n v="1"/>
  </r>
  <r>
    <n v="821"/>
    <d v="2025-12-06T00:00:00"/>
    <x v="1"/>
    <x v="17"/>
    <n v="12"/>
    <n v="7000"/>
    <n v="84000"/>
    <n v="20444"/>
    <x v="0"/>
    <n v="3"/>
    <x v="0"/>
    <n v="5"/>
    <x v="1"/>
    <n v="1"/>
    <n v="0"/>
  </r>
  <r>
    <n v="824"/>
    <d v="2025-05-23T00:00:00"/>
    <x v="4"/>
    <x v="15"/>
    <n v="12"/>
    <n v="7000"/>
    <n v="84000"/>
    <n v="21037"/>
    <x v="1"/>
    <n v="4"/>
    <x v="0"/>
    <n v="7"/>
    <x v="0"/>
    <n v="0"/>
    <n v="0"/>
  </r>
  <r>
    <n v="828"/>
    <d v="2025-06-05T00:00:00"/>
    <x v="4"/>
    <x v="15"/>
    <n v="12"/>
    <n v="7000"/>
    <n v="84000"/>
    <n v="25085"/>
    <x v="1"/>
    <n v="4"/>
    <x v="0"/>
    <n v="5"/>
    <x v="0"/>
    <n v="0"/>
    <n v="0"/>
  </r>
  <r>
    <n v="851"/>
    <d v="2024-09-06T00:00:00"/>
    <x v="2"/>
    <x v="15"/>
    <n v="12"/>
    <n v="7000"/>
    <n v="84000"/>
    <n v="17845"/>
    <x v="0"/>
    <n v="4"/>
    <x v="0"/>
    <n v="7"/>
    <x v="0"/>
    <n v="1"/>
    <n v="0"/>
  </r>
  <r>
    <n v="853"/>
    <d v="2025-09-22T00:00:00"/>
    <x v="6"/>
    <x v="16"/>
    <n v="12"/>
    <n v="7000"/>
    <n v="84000"/>
    <n v="24117"/>
    <x v="1"/>
    <n v="8"/>
    <x v="1"/>
    <n v="2"/>
    <x v="0"/>
    <n v="0"/>
    <n v="1"/>
  </r>
  <r>
    <n v="860"/>
    <d v="2025-02-13T00:00:00"/>
    <x v="2"/>
    <x v="18"/>
    <n v="14"/>
    <n v="6000"/>
    <n v="84000"/>
    <n v="19230"/>
    <x v="1"/>
    <n v="6"/>
    <x v="1"/>
    <n v="3"/>
    <x v="0"/>
    <n v="0"/>
    <n v="1"/>
  </r>
  <r>
    <n v="894"/>
    <d v="2024-08-24T00:00:00"/>
    <x v="2"/>
    <x v="5"/>
    <n v="6"/>
    <n v="14000"/>
    <n v="84000"/>
    <n v="22084"/>
    <x v="0"/>
    <n v="8"/>
    <x v="0"/>
    <n v="3"/>
    <x v="0"/>
    <n v="1"/>
    <n v="0"/>
  </r>
  <r>
    <n v="937"/>
    <d v="2025-01-10T00:00:00"/>
    <x v="6"/>
    <x v="17"/>
    <n v="12"/>
    <n v="7000"/>
    <n v="84000"/>
    <n v="18435"/>
    <x v="1"/>
    <n v="9"/>
    <x v="0"/>
    <n v="1"/>
    <x v="1"/>
    <n v="0"/>
    <n v="0"/>
  </r>
  <r>
    <n v="958"/>
    <d v="2025-09-01T00:00:00"/>
    <x v="5"/>
    <x v="17"/>
    <n v="12"/>
    <n v="7000"/>
    <n v="84000"/>
    <n v="20800"/>
    <x v="1"/>
    <n v="5"/>
    <x v="1"/>
    <n v="4"/>
    <x v="1"/>
    <n v="0"/>
    <n v="1"/>
  </r>
  <r>
    <n v="968"/>
    <d v="2024-02-04T00:00:00"/>
    <x v="3"/>
    <x v="5"/>
    <n v="6"/>
    <n v="14000"/>
    <n v="84000"/>
    <n v="21571"/>
    <x v="1"/>
    <n v="7"/>
    <x v="1"/>
    <n v="3"/>
    <x v="0"/>
    <n v="0"/>
    <n v="1"/>
  </r>
  <r>
    <n v="999"/>
    <d v="2024-03-25T00:00:00"/>
    <x v="6"/>
    <x v="8"/>
    <n v="7"/>
    <n v="12000"/>
    <n v="84000"/>
    <n v="20387"/>
    <x v="1"/>
    <n v="5"/>
    <x v="0"/>
    <n v="5"/>
    <x v="0"/>
    <n v="0"/>
    <n v="0"/>
  </r>
  <r>
    <n v="62"/>
    <d v="2024-10-09T00:00:00"/>
    <x v="3"/>
    <x v="12"/>
    <n v="9"/>
    <n v="9000"/>
    <n v="81000"/>
    <n v="18464"/>
    <x v="1"/>
    <n v="4"/>
    <x v="0"/>
    <n v="6"/>
    <x v="0"/>
    <n v="0"/>
    <n v="0"/>
  </r>
  <r>
    <n v="457"/>
    <d v="2024-01-12T00:00:00"/>
    <x v="5"/>
    <x v="13"/>
    <n v="9"/>
    <n v="9000"/>
    <n v="81000"/>
    <n v="22517"/>
    <x v="1"/>
    <n v="7"/>
    <x v="1"/>
    <n v="2"/>
    <x v="0"/>
    <n v="0"/>
    <n v="1"/>
  </r>
  <r>
    <n v="591"/>
    <d v="2025-01-04T00:00:00"/>
    <x v="5"/>
    <x v="13"/>
    <n v="9"/>
    <n v="9000"/>
    <n v="81000"/>
    <n v="12348"/>
    <x v="1"/>
    <n v="3"/>
    <x v="0"/>
    <n v="6"/>
    <x v="1"/>
    <n v="0"/>
    <n v="0"/>
  </r>
  <r>
    <n v="709"/>
    <d v="2025-09-16T00:00:00"/>
    <x v="2"/>
    <x v="12"/>
    <n v="9"/>
    <n v="9000"/>
    <n v="81000"/>
    <n v="20506"/>
    <x v="0"/>
    <n v="4"/>
    <x v="1"/>
    <n v="5"/>
    <x v="0"/>
    <n v="1"/>
    <n v="1"/>
  </r>
  <r>
    <n v="82"/>
    <d v="2025-09-10T00:00:00"/>
    <x v="5"/>
    <x v="14"/>
    <n v="10"/>
    <n v="8000"/>
    <n v="80000"/>
    <n v="22545"/>
    <x v="1"/>
    <n v="3"/>
    <x v="0"/>
    <n v="6"/>
    <x v="0"/>
    <n v="0"/>
    <n v="0"/>
  </r>
  <r>
    <n v="145"/>
    <d v="2025-08-31T00:00:00"/>
    <x v="5"/>
    <x v="14"/>
    <n v="10"/>
    <n v="8000"/>
    <n v="80000"/>
    <n v="12661"/>
    <x v="1"/>
    <n v="7"/>
    <x v="1"/>
    <n v="3"/>
    <x v="0"/>
    <n v="0"/>
    <n v="1"/>
  </r>
  <r>
    <n v="278"/>
    <d v="2025-05-18T00:00:00"/>
    <x v="3"/>
    <x v="2"/>
    <n v="4"/>
    <n v="20000"/>
    <n v="80000"/>
    <n v="13325"/>
    <x v="0"/>
    <n v="2"/>
    <x v="0"/>
    <n v="9"/>
    <x v="1"/>
    <n v="1"/>
    <n v="0"/>
  </r>
  <r>
    <n v="294"/>
    <d v="2025-05-25T00:00:00"/>
    <x v="5"/>
    <x v="14"/>
    <n v="10"/>
    <n v="8000"/>
    <n v="80000"/>
    <n v="22139"/>
    <x v="1"/>
    <n v="8"/>
    <x v="1"/>
    <n v="3"/>
    <x v="0"/>
    <n v="0"/>
    <n v="1"/>
  </r>
  <r>
    <n v="338"/>
    <d v="2025-04-26T00:00:00"/>
    <x v="3"/>
    <x v="10"/>
    <n v="8"/>
    <n v="10000"/>
    <n v="80000"/>
    <n v="17219"/>
    <x v="1"/>
    <n v="5"/>
    <x v="0"/>
    <n v="6"/>
    <x v="0"/>
    <n v="0"/>
    <n v="0"/>
  </r>
  <r>
    <n v="380"/>
    <d v="2025-08-05T00:00:00"/>
    <x v="1"/>
    <x v="10"/>
    <n v="8"/>
    <n v="10000"/>
    <n v="80000"/>
    <n v="21341"/>
    <x v="0"/>
    <n v="4"/>
    <x v="1"/>
    <n v="6"/>
    <x v="1"/>
    <n v="1"/>
    <n v="1"/>
  </r>
  <r>
    <n v="442"/>
    <d v="2025-06-13T00:00:00"/>
    <x v="1"/>
    <x v="2"/>
    <n v="4"/>
    <n v="20000"/>
    <n v="80000"/>
    <n v="12573"/>
    <x v="1"/>
    <n v="3"/>
    <x v="0"/>
    <n v="7"/>
    <x v="0"/>
    <n v="0"/>
    <n v="0"/>
  </r>
  <r>
    <n v="623"/>
    <d v="2025-09-09T00:00:00"/>
    <x v="6"/>
    <x v="2"/>
    <n v="4"/>
    <n v="20000"/>
    <n v="80000"/>
    <n v="23921"/>
    <x v="1"/>
    <n v="6"/>
    <x v="1"/>
    <n v="2"/>
    <x v="0"/>
    <n v="0"/>
    <n v="1"/>
  </r>
  <r>
    <n v="645"/>
    <d v="2024-09-21T00:00:00"/>
    <x v="3"/>
    <x v="14"/>
    <n v="10"/>
    <n v="8000"/>
    <n v="80000"/>
    <n v="19971"/>
    <x v="1"/>
    <n v="5"/>
    <x v="0"/>
    <n v="3"/>
    <x v="0"/>
    <n v="0"/>
    <n v="0"/>
  </r>
  <r>
    <n v="670"/>
    <d v="2024-04-12T00:00:00"/>
    <x v="5"/>
    <x v="11"/>
    <n v="8"/>
    <n v="10000"/>
    <n v="80000"/>
    <n v="17631"/>
    <x v="0"/>
    <n v="8"/>
    <x v="1"/>
    <n v="1"/>
    <x v="1"/>
    <n v="1"/>
    <n v="1"/>
  </r>
  <r>
    <n v="940"/>
    <d v="2025-03-12T00:00:00"/>
    <x v="1"/>
    <x v="14"/>
    <n v="10"/>
    <n v="8000"/>
    <n v="80000"/>
    <n v="13985"/>
    <x v="0"/>
    <n v="6"/>
    <x v="1"/>
    <n v="4"/>
    <x v="0"/>
    <n v="1"/>
    <n v="1"/>
  </r>
  <r>
    <n v="979"/>
    <d v="2024-05-19T00:00:00"/>
    <x v="6"/>
    <x v="10"/>
    <n v="8"/>
    <n v="10000"/>
    <n v="80000"/>
    <n v="16323"/>
    <x v="1"/>
    <n v="6"/>
    <x v="1"/>
    <n v="3"/>
    <x v="1"/>
    <n v="0"/>
    <n v="1"/>
  </r>
  <r>
    <n v="139"/>
    <d v="2024-06-15T00:00:00"/>
    <x v="1"/>
    <x v="18"/>
    <n v="13"/>
    <n v="6000"/>
    <n v="78000"/>
    <n v="15087"/>
    <x v="0"/>
    <n v="6"/>
    <x v="1"/>
    <n v="2"/>
    <x v="0"/>
    <n v="1"/>
    <n v="1"/>
  </r>
  <r>
    <n v="135"/>
    <d v="2024-12-31T00:00:00"/>
    <x v="1"/>
    <x v="15"/>
    <n v="11"/>
    <n v="7000"/>
    <n v="77000"/>
    <n v="13017"/>
    <x v="0"/>
    <n v="8"/>
    <x v="0"/>
    <n v="3"/>
    <x v="0"/>
    <n v="1"/>
    <n v="0"/>
  </r>
  <r>
    <n v="434"/>
    <d v="2025-11-24T00:00:00"/>
    <x v="4"/>
    <x v="16"/>
    <n v="11"/>
    <n v="7000"/>
    <n v="77000"/>
    <n v="16157"/>
    <x v="1"/>
    <n v="3"/>
    <x v="0"/>
    <n v="8"/>
    <x v="0"/>
    <n v="0"/>
    <n v="0"/>
  </r>
  <r>
    <n v="439"/>
    <d v="2025-07-11T00:00:00"/>
    <x v="4"/>
    <x v="17"/>
    <n v="11"/>
    <n v="7000"/>
    <n v="77000"/>
    <n v="15754"/>
    <x v="1"/>
    <n v="7"/>
    <x v="1"/>
    <n v="4"/>
    <x v="0"/>
    <n v="0"/>
    <n v="1"/>
  </r>
  <r>
    <n v="535"/>
    <d v="2024-02-19T00:00:00"/>
    <x v="5"/>
    <x v="16"/>
    <n v="11"/>
    <n v="7000"/>
    <n v="77000"/>
    <n v="16443"/>
    <x v="0"/>
    <n v="8"/>
    <x v="1"/>
    <n v="1"/>
    <x v="1"/>
    <n v="1"/>
    <n v="1"/>
  </r>
  <r>
    <n v="578"/>
    <d v="2024-02-20T00:00:00"/>
    <x v="3"/>
    <x v="17"/>
    <n v="11"/>
    <n v="7000"/>
    <n v="77000"/>
    <n v="16813"/>
    <x v="1"/>
    <n v="7"/>
    <x v="0"/>
    <n v="3"/>
    <x v="0"/>
    <n v="0"/>
    <n v="0"/>
  </r>
  <r>
    <n v="745"/>
    <d v="2024-10-06T00:00:00"/>
    <x v="0"/>
    <x v="16"/>
    <n v="11"/>
    <n v="7000"/>
    <n v="77000"/>
    <n v="11603"/>
    <x v="1"/>
    <n v="4"/>
    <x v="0"/>
    <n v="6"/>
    <x v="0"/>
    <n v="0"/>
    <n v="0"/>
  </r>
  <r>
    <n v="760"/>
    <d v="2024-07-19T00:00:00"/>
    <x v="0"/>
    <x v="16"/>
    <n v="11"/>
    <n v="7000"/>
    <n v="77000"/>
    <n v="14266"/>
    <x v="1"/>
    <n v="9"/>
    <x v="1"/>
    <n v="2"/>
    <x v="0"/>
    <n v="0"/>
    <n v="1"/>
  </r>
  <r>
    <n v="943"/>
    <d v="2025-01-17T00:00:00"/>
    <x v="2"/>
    <x v="16"/>
    <n v="11"/>
    <n v="7000"/>
    <n v="77000"/>
    <n v="20836"/>
    <x v="1"/>
    <n v="4"/>
    <x v="0"/>
    <n v="4"/>
    <x v="0"/>
    <n v="0"/>
    <n v="0"/>
  </r>
  <r>
    <n v="950"/>
    <d v="2024-08-29T00:00:00"/>
    <x v="1"/>
    <x v="9"/>
    <n v="7"/>
    <n v="11000"/>
    <n v="77000"/>
    <n v="12914"/>
    <x v="1"/>
    <n v="6"/>
    <x v="1"/>
    <n v="4"/>
    <x v="0"/>
    <n v="0"/>
    <n v="1"/>
  </r>
  <r>
    <n v="113"/>
    <d v="2025-05-03T00:00:00"/>
    <x v="6"/>
    <x v="0"/>
    <n v="3"/>
    <n v="25000"/>
    <n v="75000"/>
    <n v="18190"/>
    <x v="1"/>
    <n v="3"/>
    <x v="0"/>
    <n v="6"/>
    <x v="0"/>
    <n v="0"/>
    <n v="0"/>
  </r>
  <r>
    <n v="222"/>
    <d v="2024-11-29T00:00:00"/>
    <x v="3"/>
    <x v="0"/>
    <n v="3"/>
    <n v="25000"/>
    <n v="75000"/>
    <n v="22034"/>
    <x v="0"/>
    <n v="1"/>
    <x v="0"/>
    <n v="9"/>
    <x v="0"/>
    <n v="1"/>
    <n v="0"/>
  </r>
  <r>
    <n v="354"/>
    <d v="2025-03-03T00:00:00"/>
    <x v="1"/>
    <x v="4"/>
    <n v="5"/>
    <n v="15000"/>
    <n v="75000"/>
    <n v="11306"/>
    <x v="1"/>
    <n v="8"/>
    <x v="1"/>
    <n v="1"/>
    <x v="0"/>
    <n v="0"/>
    <n v="1"/>
  </r>
  <r>
    <n v="770"/>
    <d v="2025-08-04T00:00:00"/>
    <x v="0"/>
    <x v="0"/>
    <n v="3"/>
    <n v="25000"/>
    <n v="75000"/>
    <n v="12574"/>
    <x v="1"/>
    <n v="6"/>
    <x v="0"/>
    <n v="5"/>
    <x v="0"/>
    <n v="0"/>
    <n v="0"/>
  </r>
  <r>
    <n v="789"/>
    <d v="2025-08-09T00:00:00"/>
    <x v="5"/>
    <x v="4"/>
    <n v="5"/>
    <n v="15000"/>
    <n v="75000"/>
    <n v="13551"/>
    <x v="1"/>
    <n v="6"/>
    <x v="1"/>
    <n v="3"/>
    <x v="0"/>
    <n v="0"/>
    <n v="1"/>
  </r>
  <r>
    <n v="18"/>
    <d v="2025-04-01T00:00:00"/>
    <x v="5"/>
    <x v="8"/>
    <n v="6"/>
    <n v="12000"/>
    <n v="72000"/>
    <n v="19251"/>
    <x v="1"/>
    <n v="3"/>
    <x v="0"/>
    <n v="5"/>
    <x v="0"/>
    <n v="0"/>
    <n v="0"/>
  </r>
  <r>
    <n v="45"/>
    <d v="2025-08-12T00:00:00"/>
    <x v="2"/>
    <x v="12"/>
    <n v="8"/>
    <n v="9000"/>
    <n v="72000"/>
    <n v="20716"/>
    <x v="1"/>
    <n v="2"/>
    <x v="0"/>
    <n v="6"/>
    <x v="0"/>
    <n v="0"/>
    <n v="0"/>
  </r>
  <r>
    <n v="50"/>
    <d v="2025-07-06T00:00:00"/>
    <x v="6"/>
    <x v="7"/>
    <n v="6"/>
    <n v="12000"/>
    <n v="72000"/>
    <n v="11227"/>
    <x v="0"/>
    <n v="5"/>
    <x v="0"/>
    <n v="5"/>
    <x v="0"/>
    <n v="1"/>
    <n v="0"/>
  </r>
  <r>
    <n v="155"/>
    <d v="2024-04-22T00:00:00"/>
    <x v="4"/>
    <x v="18"/>
    <n v="12"/>
    <n v="6000"/>
    <n v="72000"/>
    <n v="12244"/>
    <x v="1"/>
    <n v="9"/>
    <x v="1"/>
    <n v="2"/>
    <x v="1"/>
    <n v="0"/>
    <n v="1"/>
  </r>
  <r>
    <n v="181"/>
    <d v="2025-09-21T00:00:00"/>
    <x v="6"/>
    <x v="18"/>
    <n v="12"/>
    <n v="6000"/>
    <n v="72000"/>
    <n v="21307"/>
    <x v="1"/>
    <n v="9"/>
    <x v="1"/>
    <n v="1"/>
    <x v="0"/>
    <n v="0"/>
    <n v="1"/>
  </r>
  <r>
    <n v="210"/>
    <d v="2024-08-08T00:00:00"/>
    <x v="3"/>
    <x v="18"/>
    <n v="12"/>
    <n v="6000"/>
    <n v="72000"/>
    <n v="19765"/>
    <x v="0"/>
    <n v="6"/>
    <x v="1"/>
    <n v="2"/>
    <x v="0"/>
    <n v="1"/>
    <n v="1"/>
  </r>
  <r>
    <n v="213"/>
    <d v="2025-03-02T00:00:00"/>
    <x v="2"/>
    <x v="6"/>
    <n v="6"/>
    <n v="12000"/>
    <n v="72000"/>
    <n v="16021"/>
    <x v="1"/>
    <n v="3"/>
    <x v="0"/>
    <n v="6"/>
    <x v="1"/>
    <n v="0"/>
    <n v="0"/>
  </r>
  <r>
    <n v="265"/>
    <d v="2025-03-04T00:00:00"/>
    <x v="5"/>
    <x v="8"/>
    <n v="6"/>
    <n v="12000"/>
    <n v="72000"/>
    <n v="13352"/>
    <x v="1"/>
    <n v="4"/>
    <x v="0"/>
    <n v="4"/>
    <x v="0"/>
    <n v="0"/>
    <n v="0"/>
  </r>
  <r>
    <n v="295"/>
    <d v="2024-09-26T00:00:00"/>
    <x v="3"/>
    <x v="18"/>
    <n v="12"/>
    <n v="6000"/>
    <n v="72000"/>
    <n v="21088"/>
    <x v="0"/>
    <n v="6"/>
    <x v="1"/>
    <n v="2"/>
    <x v="0"/>
    <n v="1"/>
    <n v="1"/>
  </r>
  <r>
    <n v="340"/>
    <d v="2024-08-23T00:00:00"/>
    <x v="6"/>
    <x v="18"/>
    <n v="12"/>
    <n v="6000"/>
    <n v="72000"/>
    <n v="14489"/>
    <x v="1"/>
    <n v="7"/>
    <x v="1"/>
    <n v="2"/>
    <x v="0"/>
    <n v="0"/>
    <n v="1"/>
  </r>
  <r>
    <n v="448"/>
    <d v="2025-09-18T00:00:00"/>
    <x v="0"/>
    <x v="8"/>
    <n v="6"/>
    <n v="12000"/>
    <n v="72000"/>
    <n v="21171"/>
    <x v="1"/>
    <n v="4"/>
    <x v="1"/>
    <n v="4"/>
    <x v="0"/>
    <n v="0"/>
    <n v="1"/>
  </r>
  <r>
    <n v="635"/>
    <d v="2025-04-13T00:00:00"/>
    <x v="6"/>
    <x v="6"/>
    <n v="6"/>
    <n v="12000"/>
    <n v="72000"/>
    <n v="14882"/>
    <x v="1"/>
    <n v="7"/>
    <x v="1"/>
    <n v="2"/>
    <x v="0"/>
    <n v="0"/>
    <n v="1"/>
  </r>
  <r>
    <n v="644"/>
    <d v="2025-05-14T00:00:00"/>
    <x v="4"/>
    <x v="6"/>
    <n v="6"/>
    <n v="12000"/>
    <n v="72000"/>
    <n v="21380"/>
    <x v="0"/>
    <n v="2"/>
    <x v="0"/>
    <n v="6"/>
    <x v="0"/>
    <n v="1"/>
    <n v="0"/>
  </r>
  <r>
    <n v="655"/>
    <d v="2025-12-01T00:00:00"/>
    <x v="5"/>
    <x v="7"/>
    <n v="6"/>
    <n v="12000"/>
    <n v="72000"/>
    <n v="21376"/>
    <x v="0"/>
    <n v="4"/>
    <x v="0"/>
    <n v="7"/>
    <x v="0"/>
    <n v="1"/>
    <n v="0"/>
  </r>
  <r>
    <n v="664"/>
    <d v="2024-01-16T00:00:00"/>
    <x v="3"/>
    <x v="12"/>
    <n v="8"/>
    <n v="9000"/>
    <n v="72000"/>
    <n v="18009"/>
    <x v="1"/>
    <n v="4"/>
    <x v="0"/>
    <n v="5"/>
    <x v="0"/>
    <n v="0"/>
    <n v="0"/>
  </r>
  <r>
    <n v="673"/>
    <d v="2024-02-26T00:00:00"/>
    <x v="1"/>
    <x v="12"/>
    <n v="8"/>
    <n v="9000"/>
    <n v="72000"/>
    <n v="16964"/>
    <x v="1"/>
    <n v="8"/>
    <x v="1"/>
    <n v="2"/>
    <x v="1"/>
    <n v="0"/>
    <n v="1"/>
  </r>
  <r>
    <n v="693"/>
    <d v="2025-11-24T00:00:00"/>
    <x v="4"/>
    <x v="18"/>
    <n v="12"/>
    <n v="6000"/>
    <n v="72000"/>
    <n v="18632"/>
    <x v="1"/>
    <n v="9"/>
    <x v="1"/>
    <n v="2"/>
    <x v="0"/>
    <n v="0"/>
    <n v="1"/>
  </r>
  <r>
    <n v="719"/>
    <d v="2025-11-26T00:00:00"/>
    <x v="2"/>
    <x v="3"/>
    <n v="4"/>
    <n v="18000"/>
    <n v="72000"/>
    <n v="16283"/>
    <x v="0"/>
    <n v="7"/>
    <x v="1"/>
    <n v="3"/>
    <x v="0"/>
    <n v="1"/>
    <n v="1"/>
  </r>
  <r>
    <n v="742"/>
    <d v="2024-12-03T00:00:00"/>
    <x v="4"/>
    <x v="6"/>
    <n v="6"/>
    <n v="12000"/>
    <n v="72000"/>
    <n v="17505"/>
    <x v="0"/>
    <n v="2"/>
    <x v="0"/>
    <n v="6"/>
    <x v="0"/>
    <n v="1"/>
    <n v="0"/>
  </r>
  <r>
    <n v="795"/>
    <d v="2025-11-27T00:00:00"/>
    <x v="2"/>
    <x v="8"/>
    <n v="6"/>
    <n v="12000"/>
    <n v="72000"/>
    <n v="16011"/>
    <x v="0"/>
    <n v="5"/>
    <x v="0"/>
    <n v="5"/>
    <x v="1"/>
    <n v="1"/>
    <n v="0"/>
  </r>
  <r>
    <n v="813"/>
    <d v="2025-05-19T00:00:00"/>
    <x v="2"/>
    <x v="13"/>
    <n v="8"/>
    <n v="9000"/>
    <n v="72000"/>
    <n v="11925"/>
    <x v="0"/>
    <n v="5"/>
    <x v="0"/>
    <n v="6"/>
    <x v="1"/>
    <n v="1"/>
    <n v="0"/>
  </r>
  <r>
    <n v="826"/>
    <d v="2025-11-13T00:00:00"/>
    <x v="6"/>
    <x v="6"/>
    <n v="6"/>
    <n v="12000"/>
    <n v="72000"/>
    <n v="15325"/>
    <x v="1"/>
    <n v="8"/>
    <x v="1"/>
    <n v="1"/>
    <x v="1"/>
    <n v="0"/>
    <n v="1"/>
  </r>
  <r>
    <n v="879"/>
    <d v="2025-09-23T00:00:00"/>
    <x v="4"/>
    <x v="6"/>
    <n v="6"/>
    <n v="12000"/>
    <n v="72000"/>
    <n v="17308"/>
    <x v="0"/>
    <n v="6"/>
    <x v="0"/>
    <n v="5"/>
    <x v="0"/>
    <n v="1"/>
    <n v="0"/>
  </r>
  <r>
    <n v="897"/>
    <d v="2025-12-06T00:00:00"/>
    <x v="3"/>
    <x v="13"/>
    <n v="8"/>
    <n v="9000"/>
    <n v="72000"/>
    <n v="16186"/>
    <x v="0"/>
    <n v="6"/>
    <x v="1"/>
    <n v="3"/>
    <x v="0"/>
    <n v="1"/>
    <n v="1"/>
  </r>
  <r>
    <n v="919"/>
    <d v="2024-04-19T00:00:00"/>
    <x v="6"/>
    <x v="8"/>
    <n v="6"/>
    <n v="12000"/>
    <n v="72000"/>
    <n v="21209"/>
    <x v="1"/>
    <n v="7"/>
    <x v="0"/>
    <n v="3"/>
    <x v="1"/>
    <n v="0"/>
    <n v="0"/>
  </r>
  <r>
    <n v="928"/>
    <d v="2025-04-05T00:00:00"/>
    <x v="2"/>
    <x v="3"/>
    <n v="4"/>
    <n v="18000"/>
    <n v="72000"/>
    <n v="19309"/>
    <x v="1"/>
    <n v="4"/>
    <x v="0"/>
    <n v="5"/>
    <x v="0"/>
    <n v="0"/>
    <n v="0"/>
  </r>
  <r>
    <n v="971"/>
    <d v="2025-06-27T00:00:00"/>
    <x v="1"/>
    <x v="3"/>
    <n v="4"/>
    <n v="18000"/>
    <n v="72000"/>
    <n v="12134"/>
    <x v="1"/>
    <n v="4"/>
    <x v="1"/>
    <n v="4"/>
    <x v="0"/>
    <n v="0"/>
    <n v="1"/>
  </r>
  <r>
    <n v="68"/>
    <d v="2024-12-15T00:00:00"/>
    <x v="5"/>
    <x v="10"/>
    <n v="7"/>
    <n v="10000"/>
    <n v="70000"/>
    <n v="20956"/>
    <x v="0"/>
    <n v="5"/>
    <x v="0"/>
    <n v="3"/>
    <x v="0"/>
    <n v="1"/>
    <n v="0"/>
  </r>
  <r>
    <n v="229"/>
    <d v="2025-11-11T00:00:00"/>
    <x v="6"/>
    <x v="19"/>
    <n v="14"/>
    <n v="5000"/>
    <n v="70000"/>
    <n v="19280"/>
    <x v="1"/>
    <n v="8"/>
    <x v="1"/>
    <n v="3"/>
    <x v="0"/>
    <n v="0"/>
    <n v="1"/>
  </r>
  <r>
    <n v="257"/>
    <d v="2024-09-25T00:00:00"/>
    <x v="6"/>
    <x v="19"/>
    <n v="14"/>
    <n v="5000"/>
    <n v="70000"/>
    <n v="11180"/>
    <x v="1"/>
    <n v="3"/>
    <x v="0"/>
    <n v="7"/>
    <x v="0"/>
    <n v="0"/>
    <n v="0"/>
  </r>
  <r>
    <n v="272"/>
    <d v="2024-08-24T00:00:00"/>
    <x v="3"/>
    <x v="17"/>
    <n v="10"/>
    <n v="7000"/>
    <n v="70000"/>
    <n v="12355"/>
    <x v="1"/>
    <n v="9"/>
    <x v="1"/>
    <n v="2"/>
    <x v="0"/>
    <n v="0"/>
    <n v="1"/>
  </r>
  <r>
    <n v="296"/>
    <d v="2025-10-20T00:00:00"/>
    <x v="6"/>
    <x v="5"/>
    <n v="5"/>
    <n v="14000"/>
    <n v="70000"/>
    <n v="14600"/>
    <x v="1"/>
    <n v="8"/>
    <x v="1"/>
    <n v="3"/>
    <x v="1"/>
    <n v="0"/>
    <n v="1"/>
  </r>
  <r>
    <n v="309"/>
    <d v="2025-04-20T00:00:00"/>
    <x v="2"/>
    <x v="5"/>
    <n v="5"/>
    <n v="14000"/>
    <n v="70000"/>
    <n v="14020"/>
    <x v="1"/>
    <n v="8"/>
    <x v="0"/>
    <n v="2"/>
    <x v="1"/>
    <n v="0"/>
    <n v="0"/>
  </r>
  <r>
    <n v="310"/>
    <d v="2025-04-02T00:00:00"/>
    <x v="2"/>
    <x v="17"/>
    <n v="10"/>
    <n v="7000"/>
    <n v="70000"/>
    <n v="11711"/>
    <x v="1"/>
    <n v="8"/>
    <x v="1"/>
    <n v="3"/>
    <x v="0"/>
    <n v="0"/>
    <n v="1"/>
  </r>
  <r>
    <n v="326"/>
    <d v="2025-05-16T00:00:00"/>
    <x v="3"/>
    <x v="16"/>
    <n v="10"/>
    <n v="7000"/>
    <n v="70000"/>
    <n v="14934"/>
    <x v="1"/>
    <n v="6"/>
    <x v="0"/>
    <n v="5"/>
    <x v="0"/>
    <n v="0"/>
    <n v="0"/>
  </r>
  <r>
    <n v="335"/>
    <d v="2025-08-15T00:00:00"/>
    <x v="2"/>
    <x v="5"/>
    <n v="5"/>
    <n v="14000"/>
    <n v="70000"/>
    <n v="20325"/>
    <x v="1"/>
    <n v="7"/>
    <x v="1"/>
    <n v="2"/>
    <x v="0"/>
    <n v="0"/>
    <n v="1"/>
  </r>
  <r>
    <n v="381"/>
    <d v="2024-06-03T00:00:00"/>
    <x v="2"/>
    <x v="19"/>
    <n v="14"/>
    <n v="5000"/>
    <n v="70000"/>
    <n v="18738"/>
    <x v="1"/>
    <n v="7"/>
    <x v="1"/>
    <n v="1"/>
    <x v="0"/>
    <n v="0"/>
    <n v="1"/>
  </r>
  <r>
    <n v="504"/>
    <d v="2025-10-07T00:00:00"/>
    <x v="3"/>
    <x v="5"/>
    <n v="5"/>
    <n v="14000"/>
    <n v="70000"/>
    <n v="16829"/>
    <x v="1"/>
    <n v="6"/>
    <x v="1"/>
    <n v="4"/>
    <x v="1"/>
    <n v="0"/>
    <n v="1"/>
  </r>
  <r>
    <n v="533"/>
    <d v="2024-06-16T00:00:00"/>
    <x v="0"/>
    <x v="10"/>
    <n v="7"/>
    <n v="10000"/>
    <n v="70000"/>
    <n v="13440"/>
    <x v="1"/>
    <n v="3"/>
    <x v="0"/>
    <n v="6"/>
    <x v="0"/>
    <n v="0"/>
    <n v="0"/>
  </r>
  <r>
    <n v="579"/>
    <d v="2024-06-20T00:00:00"/>
    <x v="4"/>
    <x v="5"/>
    <n v="5"/>
    <n v="14000"/>
    <n v="70000"/>
    <n v="12997"/>
    <x v="1"/>
    <n v="2"/>
    <x v="0"/>
    <n v="8"/>
    <x v="0"/>
    <n v="0"/>
    <n v="0"/>
  </r>
  <r>
    <n v="658"/>
    <d v="2025-03-01T00:00:00"/>
    <x v="4"/>
    <x v="5"/>
    <n v="5"/>
    <n v="14000"/>
    <n v="70000"/>
    <n v="20642"/>
    <x v="0"/>
    <n v="5"/>
    <x v="1"/>
    <n v="4"/>
    <x v="1"/>
    <n v="1"/>
    <n v="1"/>
  </r>
  <r>
    <n v="663"/>
    <d v="2024-03-25T00:00:00"/>
    <x v="4"/>
    <x v="11"/>
    <n v="7"/>
    <n v="10000"/>
    <n v="70000"/>
    <n v="15528"/>
    <x v="1"/>
    <n v="3"/>
    <x v="0"/>
    <n v="6"/>
    <x v="0"/>
    <n v="0"/>
    <n v="0"/>
  </r>
  <r>
    <n v="674"/>
    <d v="2024-04-20T00:00:00"/>
    <x v="0"/>
    <x v="11"/>
    <n v="7"/>
    <n v="10000"/>
    <n v="70000"/>
    <n v="13395"/>
    <x v="0"/>
    <n v="2"/>
    <x v="0"/>
    <n v="6"/>
    <x v="0"/>
    <n v="1"/>
    <n v="0"/>
  </r>
  <r>
    <n v="728"/>
    <d v="2025-07-10T00:00:00"/>
    <x v="5"/>
    <x v="10"/>
    <n v="7"/>
    <n v="10000"/>
    <n v="70000"/>
    <n v="16629"/>
    <x v="1"/>
    <n v="4"/>
    <x v="0"/>
    <n v="7"/>
    <x v="0"/>
    <n v="0"/>
    <n v="0"/>
  </r>
  <r>
    <n v="865"/>
    <d v="2025-09-30T00:00:00"/>
    <x v="4"/>
    <x v="19"/>
    <n v="14"/>
    <n v="5000"/>
    <n v="70000"/>
    <n v="15791"/>
    <x v="1"/>
    <n v="7"/>
    <x v="1"/>
    <n v="1"/>
    <x v="0"/>
    <n v="0"/>
    <n v="1"/>
  </r>
  <r>
    <n v="941"/>
    <d v="2025-06-14T00:00:00"/>
    <x v="6"/>
    <x v="11"/>
    <n v="7"/>
    <n v="10000"/>
    <n v="70000"/>
    <n v="11590"/>
    <x v="1"/>
    <n v="6"/>
    <x v="1"/>
    <n v="2"/>
    <x v="0"/>
    <n v="0"/>
    <n v="1"/>
  </r>
  <r>
    <n v="963"/>
    <d v="2025-02-03T00:00:00"/>
    <x v="5"/>
    <x v="16"/>
    <n v="10"/>
    <n v="7000"/>
    <n v="70000"/>
    <n v="20774"/>
    <x v="1"/>
    <n v="9"/>
    <x v="1"/>
    <n v="1"/>
    <x v="0"/>
    <n v="0"/>
    <n v="1"/>
  </r>
  <r>
    <n v="89"/>
    <d v="2024-05-23T00:00:00"/>
    <x v="4"/>
    <x v="18"/>
    <n v="11"/>
    <n v="6000"/>
    <n v="66000"/>
    <n v="18208"/>
    <x v="0"/>
    <n v="3"/>
    <x v="0"/>
    <n v="7"/>
    <x v="0"/>
    <n v="1"/>
    <n v="0"/>
  </r>
  <r>
    <n v="264"/>
    <d v="2025-02-13T00:00:00"/>
    <x v="1"/>
    <x v="18"/>
    <n v="11"/>
    <n v="6000"/>
    <n v="66000"/>
    <n v="11336"/>
    <x v="1"/>
    <n v="7"/>
    <x v="1"/>
    <n v="4"/>
    <x v="0"/>
    <n v="0"/>
    <n v="1"/>
  </r>
  <r>
    <n v="364"/>
    <d v="2024-09-06T00:00:00"/>
    <x v="0"/>
    <x v="1"/>
    <n v="3"/>
    <n v="22000"/>
    <n v="66000"/>
    <n v="12485"/>
    <x v="1"/>
    <n v="3"/>
    <x v="0"/>
    <n v="7"/>
    <x v="0"/>
    <n v="0"/>
    <n v="0"/>
  </r>
  <r>
    <n v="572"/>
    <d v="2024-09-11T00:00:00"/>
    <x v="4"/>
    <x v="9"/>
    <n v="6"/>
    <n v="11000"/>
    <n v="66000"/>
    <n v="17344"/>
    <x v="0"/>
    <n v="3"/>
    <x v="0"/>
    <n v="6"/>
    <x v="0"/>
    <n v="1"/>
    <n v="0"/>
  </r>
  <r>
    <n v="580"/>
    <d v="2025-08-29T00:00:00"/>
    <x v="0"/>
    <x v="18"/>
    <n v="11"/>
    <n v="6000"/>
    <n v="66000"/>
    <n v="13830"/>
    <x v="1"/>
    <n v="3"/>
    <x v="0"/>
    <n v="5"/>
    <x v="0"/>
    <n v="0"/>
    <n v="0"/>
  </r>
  <r>
    <n v="705"/>
    <d v="2025-11-13T00:00:00"/>
    <x v="2"/>
    <x v="9"/>
    <n v="6"/>
    <n v="11000"/>
    <n v="66000"/>
    <n v="18978"/>
    <x v="1"/>
    <n v="8"/>
    <x v="1"/>
    <n v="2"/>
    <x v="0"/>
    <n v="0"/>
    <n v="1"/>
  </r>
  <r>
    <n v="223"/>
    <d v="2025-06-18T00:00:00"/>
    <x v="3"/>
    <x v="19"/>
    <n v="13"/>
    <n v="5000"/>
    <n v="65000"/>
    <n v="12329"/>
    <x v="1"/>
    <n v="4"/>
    <x v="0"/>
    <n v="6"/>
    <x v="0"/>
    <n v="0"/>
    <n v="0"/>
  </r>
  <r>
    <n v="254"/>
    <d v="2025-03-18T00:00:00"/>
    <x v="0"/>
    <x v="19"/>
    <n v="13"/>
    <n v="5000"/>
    <n v="65000"/>
    <n v="13169"/>
    <x v="1"/>
    <n v="7"/>
    <x v="1"/>
    <n v="1"/>
    <x v="0"/>
    <n v="0"/>
    <n v="1"/>
  </r>
  <r>
    <n v="808"/>
    <d v="2024-06-18T00:00:00"/>
    <x v="0"/>
    <x v="19"/>
    <n v="13"/>
    <n v="5000"/>
    <n v="65000"/>
    <n v="13557"/>
    <x v="0"/>
    <n v="7"/>
    <x v="1"/>
    <n v="1"/>
    <x v="0"/>
    <n v="1"/>
    <n v="1"/>
  </r>
  <r>
    <n v="947"/>
    <d v="2024-03-25T00:00:00"/>
    <x v="5"/>
    <x v="19"/>
    <n v="13"/>
    <n v="5000"/>
    <n v="65000"/>
    <n v="15269"/>
    <x v="0"/>
    <n v="3"/>
    <x v="0"/>
    <n v="8"/>
    <x v="0"/>
    <n v="1"/>
    <n v="0"/>
  </r>
  <r>
    <n v="412"/>
    <d v="2024-11-03T00:00:00"/>
    <x v="3"/>
    <x v="14"/>
    <n v="8"/>
    <n v="8000"/>
    <n v="64000"/>
    <n v="17128"/>
    <x v="1"/>
    <n v="4"/>
    <x v="0"/>
    <n v="5"/>
    <x v="0"/>
    <n v="0"/>
    <n v="0"/>
  </r>
  <r>
    <n v="30"/>
    <d v="2025-05-05T00:00:00"/>
    <x v="4"/>
    <x v="15"/>
    <n v="9"/>
    <n v="7000"/>
    <n v="63000"/>
    <n v="13491"/>
    <x v="1"/>
    <n v="5"/>
    <x v="0"/>
    <n v="3"/>
    <x v="0"/>
    <n v="0"/>
    <n v="0"/>
  </r>
  <r>
    <n v="112"/>
    <d v="2025-06-19T00:00:00"/>
    <x v="4"/>
    <x v="17"/>
    <n v="9"/>
    <n v="7000"/>
    <n v="63000"/>
    <n v="15608"/>
    <x v="1"/>
    <n v="4"/>
    <x v="1"/>
    <n v="4"/>
    <x v="0"/>
    <n v="0"/>
    <n v="1"/>
  </r>
  <r>
    <n v="114"/>
    <d v="2024-03-26T00:00:00"/>
    <x v="5"/>
    <x v="12"/>
    <n v="7"/>
    <n v="9000"/>
    <n v="63000"/>
    <n v="15651"/>
    <x v="1"/>
    <n v="6"/>
    <x v="0"/>
    <n v="4"/>
    <x v="0"/>
    <n v="0"/>
    <n v="0"/>
  </r>
  <r>
    <n v="221"/>
    <d v="2025-01-10T00:00:00"/>
    <x v="1"/>
    <x v="17"/>
    <n v="9"/>
    <n v="7000"/>
    <n v="63000"/>
    <n v="14957"/>
    <x v="1"/>
    <n v="4"/>
    <x v="0"/>
    <n v="5"/>
    <x v="0"/>
    <n v="0"/>
    <n v="0"/>
  </r>
  <r>
    <n v="235"/>
    <d v="2025-10-09T00:00:00"/>
    <x v="3"/>
    <x v="12"/>
    <n v="7"/>
    <n v="9000"/>
    <n v="63000"/>
    <n v="16300"/>
    <x v="0"/>
    <n v="5"/>
    <x v="1"/>
    <n v="4"/>
    <x v="0"/>
    <n v="1"/>
    <n v="1"/>
  </r>
  <r>
    <n v="291"/>
    <d v="2025-01-17T00:00:00"/>
    <x v="4"/>
    <x v="17"/>
    <n v="9"/>
    <n v="7000"/>
    <n v="63000"/>
    <n v="12874"/>
    <x v="1"/>
    <n v="8"/>
    <x v="1"/>
    <n v="3"/>
    <x v="0"/>
    <n v="0"/>
    <n v="1"/>
  </r>
  <r>
    <n v="421"/>
    <d v="2025-07-11T00:00:00"/>
    <x v="1"/>
    <x v="17"/>
    <n v="9"/>
    <n v="7000"/>
    <n v="63000"/>
    <n v="11257"/>
    <x v="1"/>
    <n v="4"/>
    <x v="0"/>
    <n v="5"/>
    <x v="0"/>
    <n v="0"/>
    <n v="0"/>
  </r>
  <r>
    <n v="574"/>
    <d v="2025-06-14T00:00:00"/>
    <x v="4"/>
    <x v="15"/>
    <n v="9"/>
    <n v="7000"/>
    <n v="63000"/>
    <n v="11152"/>
    <x v="1"/>
    <n v="2"/>
    <x v="0"/>
    <n v="6"/>
    <x v="1"/>
    <n v="0"/>
    <n v="0"/>
  </r>
  <r>
    <n v="613"/>
    <d v="2025-07-01T00:00:00"/>
    <x v="2"/>
    <x v="17"/>
    <n v="9"/>
    <n v="7000"/>
    <n v="63000"/>
    <n v="11122"/>
    <x v="1"/>
    <n v="8"/>
    <x v="1"/>
    <n v="3"/>
    <x v="0"/>
    <n v="0"/>
    <n v="1"/>
  </r>
  <r>
    <n v="686"/>
    <d v="2025-05-18T00:00:00"/>
    <x v="0"/>
    <x v="12"/>
    <n v="7"/>
    <n v="9000"/>
    <n v="63000"/>
    <n v="15359"/>
    <x v="0"/>
    <n v="4"/>
    <x v="0"/>
    <n v="5"/>
    <x v="0"/>
    <n v="1"/>
    <n v="0"/>
  </r>
  <r>
    <n v="852"/>
    <d v="2024-01-15T00:00:00"/>
    <x v="2"/>
    <x v="15"/>
    <n v="9"/>
    <n v="7000"/>
    <n v="63000"/>
    <n v="17171"/>
    <x v="1"/>
    <n v="3"/>
    <x v="0"/>
    <n v="7"/>
    <x v="0"/>
    <n v="0"/>
    <n v="0"/>
  </r>
  <r>
    <n v="875"/>
    <d v="2024-10-31T00:00:00"/>
    <x v="2"/>
    <x v="12"/>
    <n v="7"/>
    <n v="9000"/>
    <n v="63000"/>
    <n v="16266"/>
    <x v="0"/>
    <n v="3"/>
    <x v="0"/>
    <n v="7"/>
    <x v="0"/>
    <n v="1"/>
    <n v="0"/>
  </r>
  <r>
    <n v="913"/>
    <d v="2025-05-06T00:00:00"/>
    <x v="0"/>
    <x v="12"/>
    <n v="7"/>
    <n v="9000"/>
    <n v="63000"/>
    <n v="14248"/>
    <x v="0"/>
    <n v="5"/>
    <x v="1"/>
    <n v="6"/>
    <x v="0"/>
    <n v="1"/>
    <n v="1"/>
  </r>
  <r>
    <n v="29"/>
    <d v="2024-01-03T00:00:00"/>
    <x v="3"/>
    <x v="7"/>
    <n v="5"/>
    <n v="12000"/>
    <n v="60000"/>
    <n v="13925"/>
    <x v="1"/>
    <n v="4"/>
    <x v="0"/>
    <n v="5"/>
    <x v="0"/>
    <n v="0"/>
    <n v="0"/>
  </r>
  <r>
    <n v="37"/>
    <d v="2024-03-22T00:00:00"/>
    <x v="3"/>
    <x v="8"/>
    <n v="5"/>
    <n v="12000"/>
    <n v="60000"/>
    <n v="10462"/>
    <x v="1"/>
    <n v="4"/>
    <x v="0"/>
    <n v="4"/>
    <x v="0"/>
    <n v="0"/>
    <n v="0"/>
  </r>
  <r>
    <n v="42"/>
    <d v="2024-01-17T00:00:00"/>
    <x v="3"/>
    <x v="4"/>
    <n v="4"/>
    <n v="15000"/>
    <n v="60000"/>
    <n v="12371"/>
    <x v="0"/>
    <n v="6"/>
    <x v="1"/>
    <n v="4"/>
    <x v="0"/>
    <n v="1"/>
    <n v="1"/>
  </r>
  <r>
    <n v="44"/>
    <d v="2025-03-23T00:00:00"/>
    <x v="5"/>
    <x v="4"/>
    <n v="4"/>
    <n v="15000"/>
    <n v="60000"/>
    <n v="14193"/>
    <x v="0"/>
    <n v="7"/>
    <x v="1"/>
    <n v="3"/>
    <x v="1"/>
    <n v="1"/>
    <n v="1"/>
  </r>
  <r>
    <n v="52"/>
    <d v="2024-06-08T00:00:00"/>
    <x v="0"/>
    <x v="4"/>
    <n v="4"/>
    <n v="15000"/>
    <n v="60000"/>
    <n v="15660"/>
    <x v="1"/>
    <n v="4"/>
    <x v="0"/>
    <n v="6"/>
    <x v="0"/>
    <n v="0"/>
    <n v="0"/>
  </r>
  <r>
    <n v="95"/>
    <d v="2025-07-28T00:00:00"/>
    <x v="0"/>
    <x v="4"/>
    <n v="4"/>
    <n v="15000"/>
    <n v="60000"/>
    <n v="15485"/>
    <x v="1"/>
    <n v="4"/>
    <x v="1"/>
    <n v="4"/>
    <x v="0"/>
    <n v="0"/>
    <n v="1"/>
  </r>
  <r>
    <n v="96"/>
    <d v="2024-04-28T00:00:00"/>
    <x v="2"/>
    <x v="10"/>
    <n v="6"/>
    <n v="10000"/>
    <n v="60000"/>
    <n v="12772"/>
    <x v="1"/>
    <n v="6"/>
    <x v="0"/>
    <n v="5"/>
    <x v="0"/>
    <n v="0"/>
    <n v="0"/>
  </r>
  <r>
    <n v="116"/>
    <d v="2024-01-06T00:00:00"/>
    <x v="5"/>
    <x v="4"/>
    <n v="4"/>
    <n v="15000"/>
    <n v="60000"/>
    <n v="14646"/>
    <x v="1"/>
    <n v="1"/>
    <x v="0"/>
    <n v="8"/>
    <x v="1"/>
    <n v="0"/>
    <n v="0"/>
  </r>
  <r>
    <n v="186"/>
    <d v="2025-09-16T00:00:00"/>
    <x v="5"/>
    <x v="6"/>
    <n v="5"/>
    <n v="12000"/>
    <n v="60000"/>
    <n v="13564"/>
    <x v="1"/>
    <n v="8"/>
    <x v="1"/>
    <n v="1"/>
    <x v="0"/>
    <n v="0"/>
    <n v="1"/>
  </r>
  <r>
    <n v="188"/>
    <d v="2024-06-16T00:00:00"/>
    <x v="5"/>
    <x v="6"/>
    <n v="5"/>
    <n v="12000"/>
    <n v="60000"/>
    <n v="12376"/>
    <x v="1"/>
    <n v="7"/>
    <x v="1"/>
    <n v="4"/>
    <x v="0"/>
    <n v="0"/>
    <n v="1"/>
  </r>
  <r>
    <n v="194"/>
    <d v="2024-12-17T00:00:00"/>
    <x v="6"/>
    <x v="18"/>
    <n v="10"/>
    <n v="6000"/>
    <n v="60000"/>
    <n v="11966"/>
    <x v="0"/>
    <n v="7"/>
    <x v="1"/>
    <n v="3"/>
    <x v="1"/>
    <n v="1"/>
    <n v="1"/>
  </r>
  <r>
    <n v="237"/>
    <d v="2024-05-03T00:00:00"/>
    <x v="5"/>
    <x v="8"/>
    <n v="5"/>
    <n v="12000"/>
    <n v="60000"/>
    <n v="12857"/>
    <x v="0"/>
    <n v="4"/>
    <x v="0"/>
    <n v="5"/>
    <x v="0"/>
    <n v="1"/>
    <n v="0"/>
  </r>
  <r>
    <n v="239"/>
    <d v="2024-02-16T00:00:00"/>
    <x v="0"/>
    <x v="10"/>
    <n v="6"/>
    <n v="10000"/>
    <n v="60000"/>
    <n v="14889"/>
    <x v="1"/>
    <n v="7"/>
    <x v="1"/>
    <n v="4"/>
    <x v="0"/>
    <n v="0"/>
    <n v="1"/>
  </r>
  <r>
    <n v="273"/>
    <d v="2024-03-17T00:00:00"/>
    <x v="3"/>
    <x v="10"/>
    <n v="6"/>
    <n v="10000"/>
    <n v="60000"/>
    <n v="14342"/>
    <x v="1"/>
    <n v="8"/>
    <x v="1"/>
    <n v="1"/>
    <x v="1"/>
    <n v="0"/>
    <n v="1"/>
  </r>
  <r>
    <n v="399"/>
    <d v="2025-10-02T00:00:00"/>
    <x v="5"/>
    <x v="19"/>
    <n v="12"/>
    <n v="5000"/>
    <n v="60000"/>
    <n v="15720"/>
    <x v="0"/>
    <n v="4"/>
    <x v="0"/>
    <n v="4"/>
    <x v="1"/>
    <n v="1"/>
    <n v="0"/>
  </r>
  <r>
    <n v="411"/>
    <d v="2025-09-17T00:00:00"/>
    <x v="3"/>
    <x v="7"/>
    <n v="5"/>
    <n v="12000"/>
    <n v="60000"/>
    <n v="14954"/>
    <x v="1"/>
    <n v="6"/>
    <x v="0"/>
    <n v="5"/>
    <x v="0"/>
    <n v="0"/>
    <n v="0"/>
  </r>
  <r>
    <n v="414"/>
    <d v="2024-03-03T00:00:00"/>
    <x v="5"/>
    <x v="2"/>
    <n v="3"/>
    <n v="20000"/>
    <n v="60000"/>
    <n v="16788"/>
    <x v="1"/>
    <n v="2"/>
    <x v="0"/>
    <n v="9"/>
    <x v="0"/>
    <n v="0"/>
    <n v="0"/>
  </r>
  <r>
    <n v="422"/>
    <d v="2025-09-07T00:00:00"/>
    <x v="2"/>
    <x v="11"/>
    <n v="6"/>
    <n v="10000"/>
    <n v="60000"/>
    <n v="10638"/>
    <x v="0"/>
    <n v="7"/>
    <x v="0"/>
    <n v="1"/>
    <x v="0"/>
    <n v="1"/>
    <n v="0"/>
  </r>
  <r>
    <n v="425"/>
    <d v="2025-10-03T00:00:00"/>
    <x v="2"/>
    <x v="11"/>
    <n v="6"/>
    <n v="10000"/>
    <n v="60000"/>
    <n v="14405"/>
    <x v="1"/>
    <n v="4"/>
    <x v="0"/>
    <n v="5"/>
    <x v="1"/>
    <n v="0"/>
    <n v="0"/>
  </r>
  <r>
    <n v="440"/>
    <d v="2025-05-03T00:00:00"/>
    <x v="3"/>
    <x v="8"/>
    <n v="5"/>
    <n v="12000"/>
    <n v="60000"/>
    <n v="12667"/>
    <x v="1"/>
    <n v="8"/>
    <x v="0"/>
    <n v="1"/>
    <x v="0"/>
    <n v="0"/>
    <n v="0"/>
  </r>
  <r>
    <n v="445"/>
    <d v="2024-11-03T00:00:00"/>
    <x v="0"/>
    <x v="7"/>
    <n v="5"/>
    <n v="12000"/>
    <n v="60000"/>
    <n v="14714"/>
    <x v="1"/>
    <n v="4"/>
    <x v="0"/>
    <n v="6"/>
    <x v="0"/>
    <n v="0"/>
    <n v="0"/>
  </r>
  <r>
    <n v="505"/>
    <d v="2024-06-05T00:00:00"/>
    <x v="5"/>
    <x v="18"/>
    <n v="10"/>
    <n v="6000"/>
    <n v="60000"/>
    <n v="9027"/>
    <x v="0"/>
    <n v="8"/>
    <x v="0"/>
    <n v="2"/>
    <x v="1"/>
    <n v="1"/>
    <n v="0"/>
  </r>
  <r>
    <n v="521"/>
    <d v="2025-08-19T00:00:00"/>
    <x v="6"/>
    <x v="6"/>
    <n v="5"/>
    <n v="12000"/>
    <n v="60000"/>
    <n v="12217"/>
    <x v="1"/>
    <n v="8"/>
    <x v="1"/>
    <n v="1"/>
    <x v="0"/>
    <n v="0"/>
    <n v="1"/>
  </r>
  <r>
    <n v="522"/>
    <d v="2024-08-18T00:00:00"/>
    <x v="6"/>
    <x v="7"/>
    <n v="5"/>
    <n v="12000"/>
    <n v="60000"/>
    <n v="15065"/>
    <x v="1"/>
    <n v="7"/>
    <x v="1"/>
    <n v="1"/>
    <x v="0"/>
    <n v="0"/>
    <n v="1"/>
  </r>
  <r>
    <n v="536"/>
    <d v="2024-01-05T00:00:00"/>
    <x v="1"/>
    <x v="19"/>
    <n v="12"/>
    <n v="5000"/>
    <n v="60000"/>
    <n v="10324"/>
    <x v="1"/>
    <n v="4"/>
    <x v="0"/>
    <n v="7"/>
    <x v="0"/>
    <n v="0"/>
    <n v="0"/>
  </r>
  <r>
    <n v="602"/>
    <d v="2025-06-13T00:00:00"/>
    <x v="6"/>
    <x v="6"/>
    <n v="5"/>
    <n v="12000"/>
    <n v="60000"/>
    <n v="12202"/>
    <x v="1"/>
    <n v="4"/>
    <x v="0"/>
    <n v="7"/>
    <x v="0"/>
    <n v="0"/>
    <n v="0"/>
  </r>
  <r>
    <n v="616"/>
    <d v="2024-01-12T00:00:00"/>
    <x v="4"/>
    <x v="2"/>
    <n v="3"/>
    <n v="20000"/>
    <n v="60000"/>
    <n v="17490"/>
    <x v="1"/>
    <n v="1"/>
    <x v="0"/>
    <n v="8"/>
    <x v="0"/>
    <n v="0"/>
    <n v="0"/>
  </r>
  <r>
    <n v="625"/>
    <d v="2024-11-02T00:00:00"/>
    <x v="0"/>
    <x v="7"/>
    <n v="5"/>
    <n v="12000"/>
    <n v="60000"/>
    <n v="15206"/>
    <x v="1"/>
    <n v="5"/>
    <x v="0"/>
    <n v="5"/>
    <x v="1"/>
    <n v="0"/>
    <n v="0"/>
  </r>
  <r>
    <n v="638"/>
    <d v="2025-02-10T00:00:00"/>
    <x v="5"/>
    <x v="4"/>
    <n v="4"/>
    <n v="15000"/>
    <n v="60000"/>
    <n v="17572"/>
    <x v="0"/>
    <n v="3"/>
    <x v="0"/>
    <n v="6"/>
    <x v="1"/>
    <n v="1"/>
    <n v="0"/>
  </r>
  <r>
    <n v="662"/>
    <d v="2024-06-06T00:00:00"/>
    <x v="2"/>
    <x v="6"/>
    <n v="5"/>
    <n v="12000"/>
    <n v="60000"/>
    <n v="11343"/>
    <x v="1"/>
    <n v="5"/>
    <x v="0"/>
    <n v="4"/>
    <x v="0"/>
    <n v="0"/>
    <n v="0"/>
  </r>
  <r>
    <n v="677"/>
    <d v="2025-07-27T00:00:00"/>
    <x v="5"/>
    <x v="7"/>
    <n v="5"/>
    <n v="12000"/>
    <n v="60000"/>
    <n v="9913"/>
    <x v="1"/>
    <n v="3"/>
    <x v="0"/>
    <n v="6"/>
    <x v="0"/>
    <n v="0"/>
    <n v="0"/>
  </r>
  <r>
    <n v="685"/>
    <d v="2025-04-21T00:00:00"/>
    <x v="6"/>
    <x v="8"/>
    <n v="5"/>
    <n v="12000"/>
    <n v="60000"/>
    <n v="14270"/>
    <x v="1"/>
    <n v="3"/>
    <x v="0"/>
    <n v="8"/>
    <x v="0"/>
    <n v="0"/>
    <n v="0"/>
  </r>
  <r>
    <n v="706"/>
    <d v="2025-06-06T00:00:00"/>
    <x v="3"/>
    <x v="11"/>
    <n v="6"/>
    <n v="10000"/>
    <n v="60000"/>
    <n v="11729"/>
    <x v="1"/>
    <n v="7"/>
    <x v="1"/>
    <n v="1"/>
    <x v="0"/>
    <n v="0"/>
    <n v="1"/>
  </r>
  <r>
    <n v="716"/>
    <d v="2024-07-04T00:00:00"/>
    <x v="3"/>
    <x v="10"/>
    <n v="6"/>
    <n v="10000"/>
    <n v="60000"/>
    <n v="14119"/>
    <x v="1"/>
    <n v="6"/>
    <x v="0"/>
    <n v="2"/>
    <x v="0"/>
    <n v="0"/>
    <n v="0"/>
  </r>
  <r>
    <n v="757"/>
    <d v="2024-07-20T00:00:00"/>
    <x v="1"/>
    <x v="18"/>
    <n v="10"/>
    <n v="6000"/>
    <n v="60000"/>
    <n v="10616"/>
    <x v="1"/>
    <n v="5"/>
    <x v="0"/>
    <n v="4"/>
    <x v="0"/>
    <n v="0"/>
    <n v="0"/>
  </r>
  <r>
    <n v="885"/>
    <d v="2024-12-27T00:00:00"/>
    <x v="1"/>
    <x v="18"/>
    <n v="10"/>
    <n v="6000"/>
    <n v="60000"/>
    <n v="16031"/>
    <x v="1"/>
    <n v="4"/>
    <x v="0"/>
    <n v="5"/>
    <x v="0"/>
    <n v="0"/>
    <n v="0"/>
  </r>
  <r>
    <n v="925"/>
    <d v="2024-06-27T00:00:00"/>
    <x v="1"/>
    <x v="18"/>
    <n v="10"/>
    <n v="6000"/>
    <n v="60000"/>
    <n v="15726"/>
    <x v="1"/>
    <n v="5"/>
    <x v="1"/>
    <n v="4"/>
    <x v="0"/>
    <n v="0"/>
    <n v="1"/>
  </r>
  <r>
    <n v="952"/>
    <d v="2025-04-23T00:00:00"/>
    <x v="6"/>
    <x v="2"/>
    <n v="3"/>
    <n v="20000"/>
    <n v="60000"/>
    <n v="11914"/>
    <x v="0"/>
    <n v="5"/>
    <x v="0"/>
    <n v="5"/>
    <x v="0"/>
    <n v="1"/>
    <n v="0"/>
  </r>
  <r>
    <n v="90"/>
    <d v="2024-03-09T00:00:00"/>
    <x v="3"/>
    <x v="16"/>
    <n v="8"/>
    <n v="7000"/>
    <n v="56000"/>
    <n v="14726"/>
    <x v="1"/>
    <n v="7"/>
    <x v="1"/>
    <n v="2"/>
    <x v="0"/>
    <n v="0"/>
    <n v="1"/>
  </r>
  <r>
    <n v="141"/>
    <d v="2025-05-10T00:00:00"/>
    <x v="6"/>
    <x v="17"/>
    <n v="8"/>
    <n v="7000"/>
    <n v="56000"/>
    <n v="13678"/>
    <x v="1"/>
    <n v="8"/>
    <x v="1"/>
    <n v="3"/>
    <x v="0"/>
    <n v="0"/>
    <n v="1"/>
  </r>
  <r>
    <n v="202"/>
    <d v="2025-04-23T00:00:00"/>
    <x v="4"/>
    <x v="15"/>
    <n v="8"/>
    <n v="7000"/>
    <n v="56000"/>
    <n v="11892"/>
    <x v="1"/>
    <n v="2"/>
    <x v="0"/>
    <n v="8"/>
    <x v="1"/>
    <n v="0"/>
    <n v="0"/>
  </r>
  <r>
    <n v="236"/>
    <d v="2025-11-16T00:00:00"/>
    <x v="6"/>
    <x v="14"/>
    <n v="7"/>
    <n v="8000"/>
    <n v="56000"/>
    <n v="12028"/>
    <x v="1"/>
    <n v="5"/>
    <x v="1"/>
    <n v="5"/>
    <x v="0"/>
    <n v="0"/>
    <n v="1"/>
  </r>
  <r>
    <n v="324"/>
    <d v="2024-08-04T00:00:00"/>
    <x v="0"/>
    <x v="14"/>
    <n v="7"/>
    <n v="8000"/>
    <n v="56000"/>
    <n v="10312"/>
    <x v="0"/>
    <n v="4"/>
    <x v="0"/>
    <n v="5"/>
    <x v="0"/>
    <n v="1"/>
    <n v="0"/>
  </r>
  <r>
    <n v="351"/>
    <d v="2024-06-08T00:00:00"/>
    <x v="3"/>
    <x v="20"/>
    <n v="14"/>
    <n v="4000"/>
    <n v="56000"/>
    <n v="9480"/>
    <x v="1"/>
    <n v="6"/>
    <x v="1"/>
    <n v="2"/>
    <x v="0"/>
    <n v="0"/>
    <n v="1"/>
  </r>
  <r>
    <n v="426"/>
    <d v="2024-02-29T00:00:00"/>
    <x v="0"/>
    <x v="20"/>
    <n v="14"/>
    <n v="4000"/>
    <n v="56000"/>
    <n v="13340"/>
    <x v="1"/>
    <n v="3"/>
    <x v="0"/>
    <n v="6"/>
    <x v="0"/>
    <n v="0"/>
    <n v="0"/>
  </r>
  <r>
    <n v="451"/>
    <d v="2025-05-05T00:00:00"/>
    <x v="2"/>
    <x v="16"/>
    <n v="8"/>
    <n v="7000"/>
    <n v="56000"/>
    <n v="8834"/>
    <x v="1"/>
    <n v="8"/>
    <x v="0"/>
    <n v="1"/>
    <x v="0"/>
    <n v="0"/>
    <n v="0"/>
  </r>
  <r>
    <n v="459"/>
    <d v="2025-01-10T00:00:00"/>
    <x v="0"/>
    <x v="20"/>
    <n v="14"/>
    <n v="4000"/>
    <n v="56000"/>
    <n v="10714"/>
    <x v="0"/>
    <n v="8"/>
    <x v="1"/>
    <n v="2"/>
    <x v="0"/>
    <n v="1"/>
    <n v="1"/>
  </r>
  <r>
    <n v="744"/>
    <d v="2025-10-10T00:00:00"/>
    <x v="6"/>
    <x v="20"/>
    <n v="14"/>
    <n v="4000"/>
    <n v="56000"/>
    <n v="13204"/>
    <x v="1"/>
    <n v="6"/>
    <x v="1"/>
    <n v="2"/>
    <x v="0"/>
    <n v="0"/>
    <n v="1"/>
  </r>
  <r>
    <n v="768"/>
    <d v="2024-11-09T00:00:00"/>
    <x v="0"/>
    <x v="14"/>
    <n v="7"/>
    <n v="8000"/>
    <n v="56000"/>
    <n v="13641"/>
    <x v="0"/>
    <n v="8"/>
    <x v="1"/>
    <n v="3"/>
    <x v="0"/>
    <n v="1"/>
    <n v="1"/>
  </r>
  <r>
    <n v="781"/>
    <d v="2025-12-13T00:00:00"/>
    <x v="5"/>
    <x v="20"/>
    <n v="14"/>
    <n v="4000"/>
    <n v="56000"/>
    <n v="12842"/>
    <x v="1"/>
    <n v="8"/>
    <x v="0"/>
    <n v="2"/>
    <x v="0"/>
    <n v="0"/>
    <n v="0"/>
  </r>
  <r>
    <n v="886"/>
    <d v="2024-06-02T00:00:00"/>
    <x v="6"/>
    <x v="14"/>
    <n v="7"/>
    <n v="8000"/>
    <n v="56000"/>
    <n v="13973"/>
    <x v="1"/>
    <n v="3"/>
    <x v="0"/>
    <n v="8"/>
    <x v="1"/>
    <n v="0"/>
    <n v="0"/>
  </r>
  <r>
    <n v="890"/>
    <d v="2024-05-29T00:00:00"/>
    <x v="3"/>
    <x v="15"/>
    <n v="8"/>
    <n v="7000"/>
    <n v="56000"/>
    <n v="10357"/>
    <x v="1"/>
    <n v="4"/>
    <x v="0"/>
    <n v="7"/>
    <x v="0"/>
    <n v="0"/>
    <n v="0"/>
  </r>
  <r>
    <n v="962"/>
    <d v="2025-01-25T00:00:00"/>
    <x v="6"/>
    <x v="15"/>
    <n v="8"/>
    <n v="7000"/>
    <n v="56000"/>
    <n v="15728"/>
    <x v="1"/>
    <n v="7"/>
    <x v="1"/>
    <n v="4"/>
    <x v="0"/>
    <n v="0"/>
    <n v="1"/>
  </r>
  <r>
    <n v="977"/>
    <d v="2024-08-21T00:00:00"/>
    <x v="4"/>
    <x v="14"/>
    <n v="7"/>
    <n v="8000"/>
    <n v="56000"/>
    <n v="15947"/>
    <x v="0"/>
    <n v="8"/>
    <x v="1"/>
    <n v="1"/>
    <x v="1"/>
    <n v="1"/>
    <n v="1"/>
  </r>
  <r>
    <n v="58"/>
    <d v="2025-10-11T00:00:00"/>
    <x v="2"/>
    <x v="9"/>
    <n v="5"/>
    <n v="11000"/>
    <n v="55000"/>
    <n v="10599"/>
    <x v="0"/>
    <n v="3"/>
    <x v="0"/>
    <n v="6"/>
    <x v="0"/>
    <n v="1"/>
    <n v="0"/>
  </r>
  <r>
    <n v="92"/>
    <d v="2025-07-01T00:00:00"/>
    <x v="1"/>
    <x v="19"/>
    <n v="11"/>
    <n v="5000"/>
    <n v="55000"/>
    <n v="9134"/>
    <x v="1"/>
    <n v="8"/>
    <x v="1"/>
    <n v="1"/>
    <x v="0"/>
    <n v="0"/>
    <n v="1"/>
  </r>
  <r>
    <n v="311"/>
    <d v="2024-05-01T00:00:00"/>
    <x v="6"/>
    <x v="19"/>
    <n v="11"/>
    <n v="5000"/>
    <n v="55000"/>
    <n v="15830"/>
    <x v="0"/>
    <n v="5"/>
    <x v="1"/>
    <n v="4"/>
    <x v="0"/>
    <n v="1"/>
    <n v="1"/>
  </r>
  <r>
    <n v="462"/>
    <d v="2024-06-10T00:00:00"/>
    <x v="6"/>
    <x v="19"/>
    <n v="11"/>
    <n v="5000"/>
    <n v="55000"/>
    <n v="14983"/>
    <x v="1"/>
    <n v="5"/>
    <x v="0"/>
    <n v="5"/>
    <x v="1"/>
    <n v="0"/>
    <n v="0"/>
  </r>
  <r>
    <n v="586"/>
    <d v="2024-05-08T00:00:00"/>
    <x v="3"/>
    <x v="19"/>
    <n v="11"/>
    <n v="5000"/>
    <n v="55000"/>
    <n v="10680"/>
    <x v="0"/>
    <n v="9"/>
    <x v="0"/>
    <n v="1"/>
    <x v="0"/>
    <n v="1"/>
    <n v="0"/>
  </r>
  <r>
    <n v="626"/>
    <d v="2025-10-30T00:00:00"/>
    <x v="1"/>
    <x v="19"/>
    <n v="11"/>
    <n v="5000"/>
    <n v="55000"/>
    <n v="16097"/>
    <x v="0"/>
    <n v="4"/>
    <x v="0"/>
    <n v="5"/>
    <x v="0"/>
    <n v="1"/>
    <n v="0"/>
  </r>
  <r>
    <n v="771"/>
    <d v="2024-06-12T00:00:00"/>
    <x v="4"/>
    <x v="9"/>
    <n v="5"/>
    <n v="11000"/>
    <n v="55000"/>
    <n v="16390"/>
    <x v="1"/>
    <n v="3"/>
    <x v="0"/>
    <n v="7"/>
    <x v="0"/>
    <n v="0"/>
    <n v="0"/>
  </r>
  <r>
    <n v="782"/>
    <d v="2025-01-05T00:00:00"/>
    <x v="1"/>
    <x v="19"/>
    <n v="11"/>
    <n v="5000"/>
    <n v="55000"/>
    <n v="14214"/>
    <x v="0"/>
    <n v="6"/>
    <x v="0"/>
    <n v="3"/>
    <x v="0"/>
    <n v="1"/>
    <n v="0"/>
  </r>
  <r>
    <n v="864"/>
    <d v="2024-01-16T00:00:00"/>
    <x v="3"/>
    <x v="9"/>
    <n v="5"/>
    <n v="11000"/>
    <n v="55000"/>
    <n v="15560"/>
    <x v="0"/>
    <n v="7"/>
    <x v="1"/>
    <n v="2"/>
    <x v="0"/>
    <n v="1"/>
    <n v="1"/>
  </r>
  <r>
    <n v="868"/>
    <d v="2024-10-02T00:00:00"/>
    <x v="4"/>
    <x v="19"/>
    <n v="11"/>
    <n v="5000"/>
    <n v="55000"/>
    <n v="14709"/>
    <x v="0"/>
    <n v="8"/>
    <x v="1"/>
    <n v="2"/>
    <x v="0"/>
    <n v="1"/>
    <n v="1"/>
  </r>
  <r>
    <n v="158"/>
    <d v="2025-07-19T00:00:00"/>
    <x v="6"/>
    <x v="18"/>
    <n v="9"/>
    <n v="6000"/>
    <n v="54000"/>
    <n v="8743"/>
    <x v="1"/>
    <n v="6"/>
    <x v="0"/>
    <n v="3"/>
    <x v="0"/>
    <n v="0"/>
    <n v="0"/>
  </r>
  <r>
    <n v="172"/>
    <d v="2024-07-26T00:00:00"/>
    <x v="6"/>
    <x v="13"/>
    <n v="6"/>
    <n v="9000"/>
    <n v="54000"/>
    <n v="10883"/>
    <x v="1"/>
    <n v="8"/>
    <x v="0"/>
    <n v="2"/>
    <x v="0"/>
    <n v="0"/>
    <n v="0"/>
  </r>
  <r>
    <n v="180"/>
    <d v="2024-11-12T00:00:00"/>
    <x v="6"/>
    <x v="3"/>
    <n v="3"/>
    <n v="18000"/>
    <n v="54000"/>
    <n v="12958"/>
    <x v="0"/>
    <n v="5"/>
    <x v="0"/>
    <n v="5"/>
    <x v="1"/>
    <n v="1"/>
    <n v="0"/>
  </r>
  <r>
    <n v="218"/>
    <d v="2025-10-30T00:00:00"/>
    <x v="0"/>
    <x v="13"/>
    <n v="6"/>
    <n v="9000"/>
    <n v="54000"/>
    <n v="14081"/>
    <x v="1"/>
    <n v="7"/>
    <x v="0"/>
    <n v="1"/>
    <x v="0"/>
    <n v="0"/>
    <n v="0"/>
  </r>
  <r>
    <n v="359"/>
    <d v="2024-01-31T00:00:00"/>
    <x v="5"/>
    <x v="3"/>
    <n v="3"/>
    <n v="18000"/>
    <n v="54000"/>
    <n v="9250"/>
    <x v="0"/>
    <n v="7"/>
    <x v="0"/>
    <n v="4"/>
    <x v="0"/>
    <n v="1"/>
    <n v="0"/>
  </r>
  <r>
    <n v="435"/>
    <d v="2024-02-08T00:00:00"/>
    <x v="6"/>
    <x v="13"/>
    <n v="6"/>
    <n v="9000"/>
    <n v="54000"/>
    <n v="9811"/>
    <x v="0"/>
    <n v="5"/>
    <x v="1"/>
    <n v="4"/>
    <x v="0"/>
    <n v="1"/>
    <n v="1"/>
  </r>
  <r>
    <n v="507"/>
    <d v="2025-02-17T00:00:00"/>
    <x v="6"/>
    <x v="18"/>
    <n v="9"/>
    <n v="6000"/>
    <n v="54000"/>
    <n v="10018"/>
    <x v="0"/>
    <n v="3"/>
    <x v="0"/>
    <n v="8"/>
    <x v="0"/>
    <n v="1"/>
    <n v="0"/>
  </r>
  <r>
    <n v="801"/>
    <d v="2025-01-22T00:00:00"/>
    <x v="5"/>
    <x v="18"/>
    <n v="9"/>
    <n v="6000"/>
    <n v="54000"/>
    <n v="9062"/>
    <x v="1"/>
    <n v="7"/>
    <x v="0"/>
    <n v="3"/>
    <x v="0"/>
    <n v="0"/>
    <n v="0"/>
  </r>
  <r>
    <n v="889"/>
    <d v="2024-02-09T00:00:00"/>
    <x v="1"/>
    <x v="12"/>
    <n v="6"/>
    <n v="9000"/>
    <n v="54000"/>
    <n v="8623"/>
    <x v="1"/>
    <n v="8"/>
    <x v="0"/>
    <n v="1"/>
    <x v="0"/>
    <n v="0"/>
    <n v="0"/>
  </r>
  <r>
    <n v="75"/>
    <d v="2024-10-12T00:00:00"/>
    <x v="5"/>
    <x v="20"/>
    <n v="13"/>
    <n v="4000"/>
    <n v="52000"/>
    <n v="11741"/>
    <x v="0"/>
    <n v="3"/>
    <x v="0"/>
    <n v="6"/>
    <x v="0"/>
    <n v="1"/>
    <n v="0"/>
  </r>
  <r>
    <n v="320"/>
    <d v="2024-02-17T00:00:00"/>
    <x v="2"/>
    <x v="20"/>
    <n v="13"/>
    <n v="4000"/>
    <n v="52000"/>
    <n v="12842"/>
    <x v="0"/>
    <n v="4"/>
    <x v="0"/>
    <n v="6"/>
    <x v="0"/>
    <n v="1"/>
    <n v="0"/>
  </r>
  <r>
    <n v="413"/>
    <d v="2024-08-15T00:00:00"/>
    <x v="5"/>
    <x v="20"/>
    <n v="13"/>
    <n v="4000"/>
    <n v="52000"/>
    <n v="12036"/>
    <x v="1"/>
    <n v="6"/>
    <x v="0"/>
    <n v="5"/>
    <x v="0"/>
    <n v="0"/>
    <n v="0"/>
  </r>
  <r>
    <n v="34"/>
    <d v="2025-07-11T00:00:00"/>
    <x v="2"/>
    <x v="19"/>
    <n v="10"/>
    <n v="5000"/>
    <n v="50000"/>
    <n v="10537"/>
    <x v="0"/>
    <n v="4"/>
    <x v="0"/>
    <n v="7"/>
    <x v="0"/>
    <n v="1"/>
    <n v="0"/>
  </r>
  <r>
    <n v="130"/>
    <d v="2025-05-07T00:00:00"/>
    <x v="1"/>
    <x v="11"/>
    <n v="5"/>
    <n v="10000"/>
    <n v="50000"/>
    <n v="13201"/>
    <x v="1"/>
    <n v="8"/>
    <x v="0"/>
    <n v="1"/>
    <x v="1"/>
    <n v="0"/>
    <n v="0"/>
  </r>
  <r>
    <n v="183"/>
    <d v="2024-01-01T00:00:00"/>
    <x v="3"/>
    <x v="10"/>
    <n v="5"/>
    <n v="10000"/>
    <n v="50000"/>
    <n v="12907"/>
    <x v="1"/>
    <n v="5"/>
    <x v="1"/>
    <n v="4"/>
    <x v="1"/>
    <n v="0"/>
    <n v="1"/>
  </r>
  <r>
    <n v="327"/>
    <d v="2025-08-07T00:00:00"/>
    <x v="6"/>
    <x v="0"/>
    <n v="2"/>
    <n v="25000"/>
    <n v="50000"/>
    <n v="9103"/>
    <x v="1"/>
    <n v="5"/>
    <x v="0"/>
    <n v="6"/>
    <x v="0"/>
    <n v="0"/>
    <n v="0"/>
  </r>
  <r>
    <n v="485"/>
    <d v="2025-12-09T00:00:00"/>
    <x v="1"/>
    <x v="11"/>
    <n v="5"/>
    <n v="10000"/>
    <n v="50000"/>
    <n v="11285"/>
    <x v="0"/>
    <n v="2"/>
    <x v="0"/>
    <n v="6"/>
    <x v="1"/>
    <n v="1"/>
    <n v="0"/>
  </r>
  <r>
    <n v="493"/>
    <d v="2024-03-26T00:00:00"/>
    <x v="2"/>
    <x v="0"/>
    <n v="2"/>
    <n v="25000"/>
    <n v="50000"/>
    <n v="8460"/>
    <x v="0"/>
    <n v="2"/>
    <x v="0"/>
    <n v="7"/>
    <x v="1"/>
    <n v="1"/>
    <n v="0"/>
  </r>
  <r>
    <n v="691"/>
    <d v="2024-06-06T00:00:00"/>
    <x v="2"/>
    <x v="19"/>
    <n v="10"/>
    <n v="5000"/>
    <n v="50000"/>
    <n v="11015"/>
    <x v="0"/>
    <n v="4"/>
    <x v="0"/>
    <n v="4"/>
    <x v="1"/>
    <n v="1"/>
    <n v="0"/>
  </r>
  <r>
    <n v="696"/>
    <d v="2025-11-09T00:00:00"/>
    <x v="6"/>
    <x v="19"/>
    <n v="10"/>
    <n v="5000"/>
    <n v="50000"/>
    <n v="10061"/>
    <x v="1"/>
    <n v="4"/>
    <x v="0"/>
    <n v="5"/>
    <x v="0"/>
    <n v="0"/>
    <n v="0"/>
  </r>
  <r>
    <n v="729"/>
    <d v="2025-12-30T00:00:00"/>
    <x v="6"/>
    <x v="0"/>
    <n v="2"/>
    <n v="25000"/>
    <n v="50000"/>
    <n v="9645"/>
    <x v="1"/>
    <n v="4"/>
    <x v="0"/>
    <n v="6"/>
    <x v="0"/>
    <n v="0"/>
    <n v="0"/>
  </r>
  <r>
    <n v="946"/>
    <d v="2025-09-04T00:00:00"/>
    <x v="0"/>
    <x v="0"/>
    <n v="2"/>
    <n v="25000"/>
    <n v="50000"/>
    <n v="10116"/>
    <x v="1"/>
    <n v="4"/>
    <x v="0"/>
    <n v="7"/>
    <x v="0"/>
    <n v="0"/>
    <n v="0"/>
  </r>
  <r>
    <n v="245"/>
    <d v="2024-06-16T00:00:00"/>
    <x v="4"/>
    <x v="21"/>
    <n v="14"/>
    <n v="3500"/>
    <n v="49000"/>
    <n v="8454"/>
    <x v="0"/>
    <n v="4"/>
    <x v="0"/>
    <n v="5"/>
    <x v="0"/>
    <n v="1"/>
    <n v="0"/>
  </r>
  <r>
    <n v="368"/>
    <d v="2024-03-21T00:00:00"/>
    <x v="1"/>
    <x v="15"/>
    <n v="7"/>
    <n v="7000"/>
    <n v="49000"/>
    <n v="7369"/>
    <x v="1"/>
    <n v="5"/>
    <x v="1"/>
    <n v="4"/>
    <x v="0"/>
    <n v="0"/>
    <n v="1"/>
  </r>
  <r>
    <n v="405"/>
    <d v="2024-12-23T00:00:00"/>
    <x v="5"/>
    <x v="15"/>
    <n v="7"/>
    <n v="7000"/>
    <n v="49000"/>
    <n v="10027"/>
    <x v="1"/>
    <n v="4"/>
    <x v="1"/>
    <n v="4"/>
    <x v="0"/>
    <n v="0"/>
    <n v="1"/>
  </r>
  <r>
    <n v="415"/>
    <d v="2025-05-15T00:00:00"/>
    <x v="1"/>
    <x v="15"/>
    <n v="7"/>
    <n v="7000"/>
    <n v="49000"/>
    <n v="8351"/>
    <x v="1"/>
    <n v="4"/>
    <x v="0"/>
    <n v="4"/>
    <x v="1"/>
    <n v="0"/>
    <n v="0"/>
  </r>
  <r>
    <n v="444"/>
    <d v="2025-11-30T00:00:00"/>
    <x v="3"/>
    <x v="21"/>
    <n v="14"/>
    <n v="3500"/>
    <n v="49000"/>
    <n v="7732"/>
    <x v="1"/>
    <n v="9"/>
    <x v="0"/>
    <n v="1"/>
    <x v="0"/>
    <n v="0"/>
    <n v="0"/>
  </r>
  <r>
    <n v="666"/>
    <d v="2025-03-20T00:00:00"/>
    <x v="4"/>
    <x v="15"/>
    <n v="7"/>
    <n v="7000"/>
    <n v="49000"/>
    <n v="8796"/>
    <x v="0"/>
    <n v="6"/>
    <x v="1"/>
    <n v="4"/>
    <x v="0"/>
    <n v="1"/>
    <n v="1"/>
  </r>
  <r>
    <n v="991"/>
    <d v="2024-11-23T00:00:00"/>
    <x v="0"/>
    <x v="17"/>
    <n v="7"/>
    <n v="7000"/>
    <n v="49000"/>
    <n v="12664"/>
    <x v="0"/>
    <n v="7"/>
    <x v="1"/>
    <n v="2"/>
    <x v="0"/>
    <n v="1"/>
    <n v="1"/>
  </r>
  <r>
    <n v="7"/>
    <d v="2025-03-23T00:00:00"/>
    <x v="2"/>
    <x v="20"/>
    <n v="12"/>
    <n v="4000"/>
    <n v="48000"/>
    <n v="12423"/>
    <x v="1"/>
    <n v="5"/>
    <x v="0"/>
    <n v="6"/>
    <x v="0"/>
    <n v="0"/>
    <n v="0"/>
  </r>
  <r>
    <n v="40"/>
    <d v="2024-09-21T00:00:00"/>
    <x v="0"/>
    <x v="8"/>
    <n v="4"/>
    <n v="12000"/>
    <n v="48000"/>
    <n v="13943"/>
    <x v="0"/>
    <n v="2"/>
    <x v="0"/>
    <n v="6"/>
    <x v="0"/>
    <n v="1"/>
    <n v="0"/>
  </r>
  <r>
    <n v="146"/>
    <d v="2025-03-21T00:00:00"/>
    <x v="1"/>
    <x v="18"/>
    <n v="8"/>
    <n v="6000"/>
    <n v="48000"/>
    <n v="11965"/>
    <x v="1"/>
    <n v="2"/>
    <x v="0"/>
    <n v="9"/>
    <x v="0"/>
    <n v="0"/>
    <n v="0"/>
  </r>
  <r>
    <n v="153"/>
    <d v="2025-08-19T00:00:00"/>
    <x v="3"/>
    <x v="7"/>
    <n v="4"/>
    <n v="12000"/>
    <n v="48000"/>
    <n v="11251"/>
    <x v="0"/>
    <n v="5"/>
    <x v="0"/>
    <n v="5"/>
    <x v="0"/>
    <n v="1"/>
    <n v="0"/>
  </r>
  <r>
    <n v="319"/>
    <d v="2024-03-28T00:00:00"/>
    <x v="5"/>
    <x v="14"/>
    <n v="6"/>
    <n v="8000"/>
    <n v="48000"/>
    <n v="13159"/>
    <x v="1"/>
    <n v="7"/>
    <x v="1"/>
    <n v="3"/>
    <x v="0"/>
    <n v="0"/>
    <n v="1"/>
  </r>
  <r>
    <n v="607"/>
    <d v="2024-08-02T00:00:00"/>
    <x v="3"/>
    <x v="8"/>
    <n v="4"/>
    <n v="12000"/>
    <n v="48000"/>
    <n v="9076"/>
    <x v="1"/>
    <n v="5"/>
    <x v="0"/>
    <n v="6"/>
    <x v="0"/>
    <n v="0"/>
    <n v="0"/>
  </r>
  <r>
    <n v="614"/>
    <d v="2025-03-21T00:00:00"/>
    <x v="6"/>
    <x v="14"/>
    <n v="6"/>
    <n v="8000"/>
    <n v="48000"/>
    <n v="8593"/>
    <x v="0"/>
    <n v="7"/>
    <x v="0"/>
    <n v="3"/>
    <x v="0"/>
    <n v="1"/>
    <n v="0"/>
  </r>
  <r>
    <n v="647"/>
    <d v="2024-01-27T00:00:00"/>
    <x v="4"/>
    <x v="6"/>
    <n v="4"/>
    <n v="12000"/>
    <n v="48000"/>
    <n v="7478"/>
    <x v="1"/>
    <n v="1"/>
    <x v="0"/>
    <n v="9"/>
    <x v="0"/>
    <n v="0"/>
    <n v="0"/>
  </r>
  <r>
    <n v="721"/>
    <d v="2025-09-25T00:00:00"/>
    <x v="4"/>
    <x v="6"/>
    <n v="4"/>
    <n v="12000"/>
    <n v="48000"/>
    <n v="9487"/>
    <x v="1"/>
    <n v="1"/>
    <x v="0"/>
    <n v="10"/>
    <x v="0"/>
    <n v="0"/>
    <n v="0"/>
  </r>
  <r>
    <n v="723"/>
    <d v="2025-05-15T00:00:00"/>
    <x v="5"/>
    <x v="8"/>
    <n v="4"/>
    <n v="12000"/>
    <n v="48000"/>
    <n v="13217"/>
    <x v="1"/>
    <n v="4"/>
    <x v="0"/>
    <n v="5"/>
    <x v="0"/>
    <n v="0"/>
    <n v="0"/>
  </r>
  <r>
    <n v="725"/>
    <d v="2024-01-13T00:00:00"/>
    <x v="3"/>
    <x v="14"/>
    <n v="6"/>
    <n v="8000"/>
    <n v="48000"/>
    <n v="11417"/>
    <x v="1"/>
    <n v="5"/>
    <x v="0"/>
    <n v="6"/>
    <x v="0"/>
    <n v="0"/>
    <n v="0"/>
  </r>
  <r>
    <n v="764"/>
    <d v="2025-05-06T00:00:00"/>
    <x v="3"/>
    <x v="7"/>
    <n v="4"/>
    <n v="12000"/>
    <n v="48000"/>
    <n v="8143"/>
    <x v="1"/>
    <n v="4"/>
    <x v="0"/>
    <n v="7"/>
    <x v="0"/>
    <n v="0"/>
    <n v="0"/>
  </r>
  <r>
    <n v="794"/>
    <d v="2024-07-21T00:00:00"/>
    <x v="0"/>
    <x v="7"/>
    <n v="4"/>
    <n v="12000"/>
    <n v="48000"/>
    <n v="13315"/>
    <x v="1"/>
    <n v="1"/>
    <x v="0"/>
    <n v="7"/>
    <x v="0"/>
    <n v="0"/>
    <n v="0"/>
  </r>
  <r>
    <n v="825"/>
    <d v="2024-11-26T00:00:00"/>
    <x v="5"/>
    <x v="8"/>
    <n v="4"/>
    <n v="12000"/>
    <n v="48000"/>
    <n v="9564"/>
    <x v="1"/>
    <n v="4"/>
    <x v="0"/>
    <n v="5"/>
    <x v="0"/>
    <n v="0"/>
    <n v="0"/>
  </r>
  <r>
    <n v="837"/>
    <d v="2025-11-27T00:00:00"/>
    <x v="0"/>
    <x v="8"/>
    <n v="4"/>
    <n v="12000"/>
    <n v="48000"/>
    <n v="9293"/>
    <x v="1"/>
    <n v="5"/>
    <x v="0"/>
    <n v="6"/>
    <x v="0"/>
    <n v="0"/>
    <n v="0"/>
  </r>
  <r>
    <n v="857"/>
    <d v="2025-10-01T00:00:00"/>
    <x v="6"/>
    <x v="20"/>
    <n v="12"/>
    <n v="4000"/>
    <n v="48000"/>
    <n v="11336"/>
    <x v="1"/>
    <n v="6"/>
    <x v="1"/>
    <n v="3"/>
    <x v="0"/>
    <n v="0"/>
    <n v="1"/>
  </r>
  <r>
    <n v="884"/>
    <d v="2024-10-05T00:00:00"/>
    <x v="3"/>
    <x v="7"/>
    <n v="4"/>
    <n v="12000"/>
    <n v="48000"/>
    <n v="8796"/>
    <x v="1"/>
    <n v="6"/>
    <x v="0"/>
    <n v="3"/>
    <x v="0"/>
    <n v="0"/>
    <n v="0"/>
  </r>
  <r>
    <n v="998"/>
    <d v="2025-06-16T00:00:00"/>
    <x v="1"/>
    <x v="8"/>
    <n v="4"/>
    <n v="12000"/>
    <n v="48000"/>
    <n v="12807"/>
    <x v="0"/>
    <n v="2"/>
    <x v="0"/>
    <n v="6"/>
    <x v="1"/>
    <n v="1"/>
    <n v="0"/>
  </r>
  <r>
    <n v="67"/>
    <d v="2025-12-27T00:00:00"/>
    <x v="2"/>
    <x v="21"/>
    <n v="13"/>
    <n v="3500"/>
    <n v="45500"/>
    <n v="13069"/>
    <x v="1"/>
    <n v="3"/>
    <x v="0"/>
    <n v="6"/>
    <x v="1"/>
    <n v="0"/>
    <n v="0"/>
  </r>
  <r>
    <n v="429"/>
    <d v="2025-12-20T00:00:00"/>
    <x v="6"/>
    <x v="21"/>
    <n v="13"/>
    <n v="3500"/>
    <n v="45500"/>
    <n v="13463"/>
    <x v="0"/>
    <n v="7"/>
    <x v="0"/>
    <n v="1"/>
    <x v="0"/>
    <n v="1"/>
    <n v="0"/>
  </r>
  <r>
    <n v="453"/>
    <d v="2025-05-31T00:00:00"/>
    <x v="0"/>
    <x v="21"/>
    <n v="13"/>
    <n v="3500"/>
    <n v="45500"/>
    <n v="8993"/>
    <x v="1"/>
    <n v="3"/>
    <x v="1"/>
    <n v="8"/>
    <x v="0"/>
    <n v="0"/>
    <n v="1"/>
  </r>
  <r>
    <n v="477"/>
    <d v="2024-10-16T00:00:00"/>
    <x v="1"/>
    <x v="22"/>
    <n v="13"/>
    <n v="3500"/>
    <n v="45500"/>
    <n v="10323"/>
    <x v="1"/>
    <n v="3"/>
    <x v="0"/>
    <n v="6"/>
    <x v="1"/>
    <n v="0"/>
    <n v="0"/>
  </r>
  <r>
    <n v="516"/>
    <d v="2025-10-26T00:00:00"/>
    <x v="5"/>
    <x v="22"/>
    <n v="13"/>
    <n v="3500"/>
    <n v="45500"/>
    <n v="9188"/>
    <x v="1"/>
    <n v="6"/>
    <x v="1"/>
    <n v="2"/>
    <x v="0"/>
    <n v="0"/>
    <n v="1"/>
  </r>
  <r>
    <n v="547"/>
    <d v="2024-02-10T00:00:00"/>
    <x v="2"/>
    <x v="21"/>
    <n v="13"/>
    <n v="3500"/>
    <n v="45500"/>
    <n v="9563"/>
    <x v="1"/>
    <n v="5"/>
    <x v="1"/>
    <n v="3"/>
    <x v="0"/>
    <n v="0"/>
    <n v="1"/>
  </r>
  <r>
    <n v="617"/>
    <d v="2025-12-04T00:00:00"/>
    <x v="0"/>
    <x v="21"/>
    <n v="13"/>
    <n v="3500"/>
    <n v="45500"/>
    <n v="13086"/>
    <x v="0"/>
    <n v="9"/>
    <x v="1"/>
    <n v="1"/>
    <x v="0"/>
    <n v="1"/>
    <n v="1"/>
  </r>
  <r>
    <n v="920"/>
    <d v="2024-09-20T00:00:00"/>
    <x v="4"/>
    <x v="22"/>
    <n v="13"/>
    <n v="3500"/>
    <n v="45500"/>
    <n v="7161"/>
    <x v="1"/>
    <n v="7"/>
    <x v="1"/>
    <n v="2"/>
    <x v="0"/>
    <n v="0"/>
    <n v="1"/>
  </r>
  <r>
    <n v="942"/>
    <d v="2024-11-19T00:00:00"/>
    <x v="0"/>
    <x v="21"/>
    <n v="13"/>
    <n v="3500"/>
    <n v="45500"/>
    <n v="10233"/>
    <x v="1"/>
    <n v="5"/>
    <x v="0"/>
    <n v="5"/>
    <x v="0"/>
    <n v="0"/>
    <n v="0"/>
  </r>
  <r>
    <n v="957"/>
    <d v="2024-08-15T00:00:00"/>
    <x v="0"/>
    <x v="22"/>
    <n v="13"/>
    <n v="3500"/>
    <n v="45500"/>
    <n v="8533"/>
    <x v="0"/>
    <n v="4"/>
    <x v="0"/>
    <n v="5"/>
    <x v="1"/>
    <n v="1"/>
    <n v="0"/>
  </r>
  <r>
    <n v="986"/>
    <d v="2024-02-17T00:00:00"/>
    <x v="0"/>
    <x v="21"/>
    <n v="13"/>
    <n v="3500"/>
    <n v="45500"/>
    <n v="7998"/>
    <x v="0"/>
    <n v="8"/>
    <x v="1"/>
    <n v="1"/>
    <x v="1"/>
    <n v="1"/>
    <n v="1"/>
  </r>
  <r>
    <n v="3"/>
    <d v="2025-01-17T00:00:00"/>
    <x v="0"/>
    <x v="4"/>
    <n v="3"/>
    <n v="15000"/>
    <n v="45000"/>
    <n v="13161"/>
    <x v="0"/>
    <n v="3"/>
    <x v="0"/>
    <n v="8"/>
    <x v="0"/>
    <n v="1"/>
    <n v="0"/>
  </r>
  <r>
    <n v="8"/>
    <d v="2025-12-18T00:00:00"/>
    <x v="1"/>
    <x v="13"/>
    <n v="5"/>
    <n v="9000"/>
    <n v="45000"/>
    <n v="9941"/>
    <x v="0"/>
    <n v="2"/>
    <x v="1"/>
    <n v="6"/>
    <x v="0"/>
    <n v="1"/>
    <n v="1"/>
  </r>
  <r>
    <n v="196"/>
    <d v="2025-07-30T00:00:00"/>
    <x v="0"/>
    <x v="13"/>
    <n v="5"/>
    <n v="9000"/>
    <n v="45000"/>
    <n v="8129"/>
    <x v="1"/>
    <n v="5"/>
    <x v="0"/>
    <n v="6"/>
    <x v="0"/>
    <n v="0"/>
    <n v="0"/>
  </r>
  <r>
    <n v="393"/>
    <d v="2025-04-03T00:00:00"/>
    <x v="2"/>
    <x v="13"/>
    <n v="5"/>
    <n v="9000"/>
    <n v="45000"/>
    <n v="7919"/>
    <x v="1"/>
    <n v="6"/>
    <x v="0"/>
    <n v="5"/>
    <x v="0"/>
    <n v="0"/>
    <n v="0"/>
  </r>
  <r>
    <n v="502"/>
    <d v="2024-03-17T00:00:00"/>
    <x v="4"/>
    <x v="13"/>
    <n v="5"/>
    <n v="9000"/>
    <n v="45000"/>
    <n v="8320"/>
    <x v="1"/>
    <n v="5"/>
    <x v="1"/>
    <n v="3"/>
    <x v="0"/>
    <n v="0"/>
    <n v="1"/>
  </r>
  <r>
    <n v="503"/>
    <d v="2024-12-11T00:00:00"/>
    <x v="2"/>
    <x v="19"/>
    <n v="9"/>
    <n v="5000"/>
    <n v="45000"/>
    <n v="8994"/>
    <x v="1"/>
    <n v="3"/>
    <x v="0"/>
    <n v="7"/>
    <x v="0"/>
    <n v="0"/>
    <n v="0"/>
  </r>
  <r>
    <n v="551"/>
    <d v="2024-06-12T00:00:00"/>
    <x v="3"/>
    <x v="12"/>
    <n v="5"/>
    <n v="9000"/>
    <n v="45000"/>
    <n v="6854"/>
    <x v="0"/>
    <n v="2"/>
    <x v="0"/>
    <n v="9"/>
    <x v="0"/>
    <n v="1"/>
    <n v="0"/>
  </r>
  <r>
    <n v="576"/>
    <d v="2024-12-10T00:00:00"/>
    <x v="0"/>
    <x v="19"/>
    <n v="9"/>
    <n v="5000"/>
    <n v="45000"/>
    <n v="10703"/>
    <x v="0"/>
    <n v="4"/>
    <x v="1"/>
    <n v="4"/>
    <x v="0"/>
    <n v="1"/>
    <n v="1"/>
  </r>
  <r>
    <n v="846"/>
    <d v="2024-09-07T00:00:00"/>
    <x v="5"/>
    <x v="4"/>
    <n v="3"/>
    <n v="15000"/>
    <n v="45000"/>
    <n v="7553"/>
    <x v="0"/>
    <n v="6"/>
    <x v="1"/>
    <n v="3"/>
    <x v="0"/>
    <n v="1"/>
    <n v="1"/>
  </r>
  <r>
    <n v="936"/>
    <d v="2024-03-04T00:00:00"/>
    <x v="1"/>
    <x v="4"/>
    <n v="3"/>
    <n v="15000"/>
    <n v="45000"/>
    <n v="13066"/>
    <x v="1"/>
    <n v="4"/>
    <x v="0"/>
    <n v="5"/>
    <x v="0"/>
    <n v="0"/>
    <n v="0"/>
  </r>
  <r>
    <n v="965"/>
    <d v="2024-05-13T00:00:00"/>
    <x v="5"/>
    <x v="13"/>
    <n v="5"/>
    <n v="9000"/>
    <n v="45000"/>
    <n v="11510"/>
    <x v="1"/>
    <n v="6"/>
    <x v="0"/>
    <n v="5"/>
    <x v="0"/>
    <n v="0"/>
    <n v="0"/>
  </r>
  <r>
    <n v="43"/>
    <d v="2025-11-11T00:00:00"/>
    <x v="1"/>
    <x v="9"/>
    <n v="4"/>
    <n v="11000"/>
    <n v="44000"/>
    <n v="8391"/>
    <x v="1"/>
    <n v="7"/>
    <x v="1"/>
    <n v="3"/>
    <x v="1"/>
    <n v="0"/>
    <n v="1"/>
  </r>
  <r>
    <n v="65"/>
    <d v="2024-01-16T00:00:00"/>
    <x v="6"/>
    <x v="9"/>
    <n v="4"/>
    <n v="11000"/>
    <n v="44000"/>
    <n v="7954"/>
    <x v="0"/>
    <n v="5"/>
    <x v="0"/>
    <n v="5"/>
    <x v="0"/>
    <n v="1"/>
    <n v="0"/>
  </r>
  <r>
    <n v="216"/>
    <d v="2025-02-26T00:00:00"/>
    <x v="5"/>
    <x v="9"/>
    <n v="4"/>
    <n v="11000"/>
    <n v="44000"/>
    <n v="13140"/>
    <x v="0"/>
    <n v="6"/>
    <x v="0"/>
    <n v="2"/>
    <x v="1"/>
    <n v="1"/>
    <n v="0"/>
  </r>
  <r>
    <n v="231"/>
    <d v="2025-04-12T00:00:00"/>
    <x v="2"/>
    <x v="9"/>
    <n v="4"/>
    <n v="11000"/>
    <n v="44000"/>
    <n v="7855"/>
    <x v="1"/>
    <n v="5"/>
    <x v="1"/>
    <n v="3"/>
    <x v="0"/>
    <n v="0"/>
    <n v="1"/>
  </r>
  <r>
    <n v="404"/>
    <d v="2024-06-18T00:00:00"/>
    <x v="1"/>
    <x v="1"/>
    <n v="2"/>
    <n v="22000"/>
    <n v="44000"/>
    <n v="10398"/>
    <x v="1"/>
    <n v="6"/>
    <x v="0"/>
    <n v="5"/>
    <x v="0"/>
    <n v="0"/>
    <n v="0"/>
  </r>
  <r>
    <n v="554"/>
    <d v="2025-07-03T00:00:00"/>
    <x v="1"/>
    <x v="20"/>
    <n v="11"/>
    <n v="4000"/>
    <n v="44000"/>
    <n v="6664"/>
    <x v="0"/>
    <n v="7"/>
    <x v="1"/>
    <n v="2"/>
    <x v="0"/>
    <n v="1"/>
    <n v="1"/>
  </r>
  <r>
    <n v="715"/>
    <d v="2025-10-29T00:00:00"/>
    <x v="0"/>
    <x v="20"/>
    <n v="11"/>
    <n v="4000"/>
    <n v="44000"/>
    <n v="10186"/>
    <x v="1"/>
    <n v="9"/>
    <x v="1"/>
    <n v="2"/>
    <x v="0"/>
    <n v="0"/>
    <n v="1"/>
  </r>
  <r>
    <n v="733"/>
    <d v="2025-05-28T00:00:00"/>
    <x v="5"/>
    <x v="9"/>
    <n v="4"/>
    <n v="11000"/>
    <n v="44000"/>
    <n v="12160"/>
    <x v="1"/>
    <n v="4"/>
    <x v="1"/>
    <n v="4"/>
    <x v="1"/>
    <n v="0"/>
    <n v="1"/>
  </r>
  <r>
    <n v="734"/>
    <d v="2024-11-14T00:00:00"/>
    <x v="1"/>
    <x v="20"/>
    <n v="11"/>
    <n v="4000"/>
    <n v="44000"/>
    <n v="8072"/>
    <x v="0"/>
    <n v="3"/>
    <x v="0"/>
    <n v="5"/>
    <x v="0"/>
    <n v="1"/>
    <n v="0"/>
  </r>
  <r>
    <n v="843"/>
    <d v="2024-12-08T00:00:00"/>
    <x v="6"/>
    <x v="20"/>
    <n v="11"/>
    <n v="4000"/>
    <n v="44000"/>
    <n v="7912"/>
    <x v="0"/>
    <n v="4"/>
    <x v="1"/>
    <n v="4"/>
    <x v="0"/>
    <n v="1"/>
    <n v="1"/>
  </r>
  <r>
    <n v="985"/>
    <d v="2024-12-09T00:00:00"/>
    <x v="3"/>
    <x v="9"/>
    <n v="4"/>
    <n v="11000"/>
    <n v="44000"/>
    <n v="12352"/>
    <x v="1"/>
    <n v="4"/>
    <x v="0"/>
    <n v="7"/>
    <x v="0"/>
    <n v="0"/>
    <n v="0"/>
  </r>
  <r>
    <n v="35"/>
    <d v="2024-06-27T00:00:00"/>
    <x v="5"/>
    <x v="16"/>
    <n v="6"/>
    <n v="7000"/>
    <n v="42000"/>
    <n v="12586"/>
    <x v="1"/>
    <n v="6"/>
    <x v="0"/>
    <n v="3"/>
    <x v="0"/>
    <n v="0"/>
    <n v="0"/>
  </r>
  <r>
    <n v="266"/>
    <d v="2024-06-19T00:00:00"/>
    <x v="4"/>
    <x v="18"/>
    <n v="7"/>
    <n v="6000"/>
    <n v="42000"/>
    <n v="7889"/>
    <x v="1"/>
    <n v="8"/>
    <x v="1"/>
    <n v="2"/>
    <x v="0"/>
    <n v="0"/>
    <n v="1"/>
  </r>
  <r>
    <n v="286"/>
    <d v="2024-06-17T00:00:00"/>
    <x v="4"/>
    <x v="16"/>
    <n v="6"/>
    <n v="7000"/>
    <n v="42000"/>
    <n v="12149"/>
    <x v="0"/>
    <n v="4"/>
    <x v="0"/>
    <n v="5"/>
    <x v="0"/>
    <n v="1"/>
    <n v="0"/>
  </r>
  <r>
    <n v="392"/>
    <d v="2024-12-05T00:00:00"/>
    <x v="1"/>
    <x v="5"/>
    <n v="3"/>
    <n v="14000"/>
    <n v="42000"/>
    <n v="10481"/>
    <x v="0"/>
    <n v="4"/>
    <x v="0"/>
    <n v="5"/>
    <x v="0"/>
    <n v="1"/>
    <n v="0"/>
  </r>
  <r>
    <n v="487"/>
    <d v="2024-03-11T00:00:00"/>
    <x v="2"/>
    <x v="21"/>
    <n v="12"/>
    <n v="3500"/>
    <n v="42000"/>
    <n v="10697"/>
    <x v="1"/>
    <n v="7"/>
    <x v="1"/>
    <n v="4"/>
    <x v="1"/>
    <n v="0"/>
    <n v="1"/>
  </r>
  <r>
    <n v="562"/>
    <d v="2025-08-05T00:00:00"/>
    <x v="1"/>
    <x v="22"/>
    <n v="12"/>
    <n v="3500"/>
    <n v="42000"/>
    <n v="10504"/>
    <x v="1"/>
    <n v="6"/>
    <x v="1"/>
    <n v="3"/>
    <x v="0"/>
    <n v="0"/>
    <n v="1"/>
  </r>
  <r>
    <n v="568"/>
    <d v="2024-01-29T00:00:00"/>
    <x v="5"/>
    <x v="18"/>
    <n v="7"/>
    <n v="6000"/>
    <n v="42000"/>
    <n v="7313"/>
    <x v="1"/>
    <n v="5"/>
    <x v="0"/>
    <n v="5"/>
    <x v="0"/>
    <n v="0"/>
    <n v="0"/>
  </r>
  <r>
    <n v="619"/>
    <d v="2025-01-29T00:00:00"/>
    <x v="2"/>
    <x v="16"/>
    <n v="6"/>
    <n v="7000"/>
    <n v="42000"/>
    <n v="7996"/>
    <x v="1"/>
    <n v="6"/>
    <x v="0"/>
    <n v="3"/>
    <x v="1"/>
    <n v="0"/>
    <n v="0"/>
  </r>
  <r>
    <n v="839"/>
    <d v="2024-06-24T00:00:00"/>
    <x v="3"/>
    <x v="21"/>
    <n v="12"/>
    <n v="3500"/>
    <n v="42000"/>
    <n v="9473"/>
    <x v="1"/>
    <n v="5"/>
    <x v="0"/>
    <n v="3"/>
    <x v="0"/>
    <n v="0"/>
    <n v="0"/>
  </r>
  <r>
    <n v="956"/>
    <d v="2025-06-06T00:00:00"/>
    <x v="1"/>
    <x v="15"/>
    <n v="6"/>
    <n v="7000"/>
    <n v="42000"/>
    <n v="12558"/>
    <x v="1"/>
    <n v="8"/>
    <x v="1"/>
    <n v="2"/>
    <x v="0"/>
    <n v="0"/>
    <n v="1"/>
  </r>
  <r>
    <n v="975"/>
    <d v="2024-07-30T00:00:00"/>
    <x v="3"/>
    <x v="17"/>
    <n v="6"/>
    <n v="7000"/>
    <n v="42000"/>
    <n v="8462"/>
    <x v="0"/>
    <n v="8"/>
    <x v="0"/>
    <n v="1"/>
    <x v="1"/>
    <n v="1"/>
    <n v="0"/>
  </r>
  <r>
    <n v="48"/>
    <d v="2025-09-19T00:00:00"/>
    <x v="1"/>
    <x v="10"/>
    <n v="4"/>
    <n v="10000"/>
    <n v="40000"/>
    <n v="10494"/>
    <x v="1"/>
    <n v="6"/>
    <x v="1"/>
    <n v="2"/>
    <x v="0"/>
    <n v="0"/>
    <n v="1"/>
  </r>
  <r>
    <n v="157"/>
    <d v="2025-08-05T00:00:00"/>
    <x v="5"/>
    <x v="2"/>
    <n v="2"/>
    <n v="20000"/>
    <n v="40000"/>
    <n v="6965"/>
    <x v="0"/>
    <n v="7"/>
    <x v="1"/>
    <n v="4"/>
    <x v="0"/>
    <n v="1"/>
    <n v="1"/>
  </r>
  <r>
    <n v="168"/>
    <d v="2025-12-17T00:00:00"/>
    <x v="1"/>
    <x v="19"/>
    <n v="8"/>
    <n v="5000"/>
    <n v="40000"/>
    <n v="10911"/>
    <x v="1"/>
    <n v="3"/>
    <x v="0"/>
    <n v="6"/>
    <x v="0"/>
    <n v="0"/>
    <n v="0"/>
  </r>
  <r>
    <n v="208"/>
    <d v="2024-12-14T00:00:00"/>
    <x v="3"/>
    <x v="19"/>
    <n v="8"/>
    <n v="5000"/>
    <n v="40000"/>
    <n v="6189"/>
    <x v="1"/>
    <n v="5"/>
    <x v="0"/>
    <n v="6"/>
    <x v="0"/>
    <n v="0"/>
    <n v="0"/>
  </r>
  <r>
    <n v="227"/>
    <d v="2025-06-09T00:00:00"/>
    <x v="4"/>
    <x v="20"/>
    <n v="10"/>
    <n v="4000"/>
    <n v="40000"/>
    <n v="6482"/>
    <x v="1"/>
    <n v="6"/>
    <x v="1"/>
    <n v="2"/>
    <x v="1"/>
    <n v="0"/>
    <n v="1"/>
  </r>
  <r>
    <n v="248"/>
    <d v="2024-03-04T00:00:00"/>
    <x v="0"/>
    <x v="20"/>
    <n v="10"/>
    <n v="4000"/>
    <n v="40000"/>
    <n v="10929"/>
    <x v="0"/>
    <n v="9"/>
    <x v="1"/>
    <n v="1"/>
    <x v="0"/>
    <n v="1"/>
    <n v="1"/>
  </r>
  <r>
    <n v="252"/>
    <d v="2025-02-02T00:00:00"/>
    <x v="3"/>
    <x v="20"/>
    <n v="10"/>
    <n v="4000"/>
    <n v="40000"/>
    <n v="9276"/>
    <x v="1"/>
    <n v="4"/>
    <x v="0"/>
    <n v="5"/>
    <x v="0"/>
    <n v="0"/>
    <n v="0"/>
  </r>
  <r>
    <n v="274"/>
    <d v="2024-07-26T00:00:00"/>
    <x v="3"/>
    <x v="2"/>
    <n v="2"/>
    <n v="20000"/>
    <n v="40000"/>
    <n v="10485"/>
    <x v="1"/>
    <n v="5"/>
    <x v="1"/>
    <n v="4"/>
    <x v="0"/>
    <n v="0"/>
    <n v="1"/>
  </r>
  <r>
    <n v="325"/>
    <d v="2025-03-10T00:00:00"/>
    <x v="4"/>
    <x v="14"/>
    <n v="5"/>
    <n v="8000"/>
    <n v="40000"/>
    <n v="11731"/>
    <x v="1"/>
    <n v="2"/>
    <x v="0"/>
    <n v="7"/>
    <x v="0"/>
    <n v="0"/>
    <n v="0"/>
  </r>
  <r>
    <n v="500"/>
    <d v="2025-04-07T00:00:00"/>
    <x v="5"/>
    <x v="2"/>
    <n v="2"/>
    <n v="20000"/>
    <n v="40000"/>
    <n v="10577"/>
    <x v="0"/>
    <n v="5"/>
    <x v="0"/>
    <n v="5"/>
    <x v="0"/>
    <n v="1"/>
    <n v="0"/>
  </r>
  <r>
    <n v="584"/>
    <d v="2024-07-15T00:00:00"/>
    <x v="4"/>
    <x v="2"/>
    <n v="2"/>
    <n v="20000"/>
    <n v="40000"/>
    <n v="10767"/>
    <x v="1"/>
    <n v="2"/>
    <x v="0"/>
    <n v="7"/>
    <x v="0"/>
    <n v="0"/>
    <n v="0"/>
  </r>
  <r>
    <n v="682"/>
    <d v="2024-04-15T00:00:00"/>
    <x v="3"/>
    <x v="14"/>
    <n v="5"/>
    <n v="8000"/>
    <n v="40000"/>
    <n v="8877"/>
    <x v="1"/>
    <n v="8"/>
    <x v="0"/>
    <n v="1"/>
    <x v="0"/>
    <n v="0"/>
    <n v="0"/>
  </r>
  <r>
    <n v="805"/>
    <d v="2025-09-04T00:00:00"/>
    <x v="1"/>
    <x v="2"/>
    <n v="2"/>
    <n v="20000"/>
    <n v="40000"/>
    <n v="6960"/>
    <x v="1"/>
    <n v="2"/>
    <x v="0"/>
    <n v="7"/>
    <x v="0"/>
    <n v="0"/>
    <n v="0"/>
  </r>
  <r>
    <n v="838"/>
    <d v="2025-06-29T00:00:00"/>
    <x v="5"/>
    <x v="2"/>
    <n v="2"/>
    <n v="20000"/>
    <n v="40000"/>
    <n v="11897"/>
    <x v="0"/>
    <n v="6"/>
    <x v="0"/>
    <n v="5"/>
    <x v="0"/>
    <n v="1"/>
    <n v="0"/>
  </r>
  <r>
    <n v="908"/>
    <d v="2024-04-13T00:00:00"/>
    <x v="6"/>
    <x v="19"/>
    <n v="8"/>
    <n v="5000"/>
    <n v="40000"/>
    <n v="9231"/>
    <x v="1"/>
    <n v="2"/>
    <x v="0"/>
    <n v="9"/>
    <x v="0"/>
    <n v="0"/>
    <n v="0"/>
  </r>
  <r>
    <n v="916"/>
    <d v="2025-11-16T00:00:00"/>
    <x v="2"/>
    <x v="2"/>
    <n v="2"/>
    <n v="20000"/>
    <n v="40000"/>
    <n v="8081"/>
    <x v="0"/>
    <n v="3"/>
    <x v="0"/>
    <n v="6"/>
    <x v="0"/>
    <n v="1"/>
    <n v="0"/>
  </r>
  <r>
    <n v="949"/>
    <d v="2025-01-07T00:00:00"/>
    <x v="2"/>
    <x v="14"/>
    <n v="5"/>
    <n v="8000"/>
    <n v="40000"/>
    <n v="6811"/>
    <x v="1"/>
    <n v="5"/>
    <x v="1"/>
    <n v="3"/>
    <x v="0"/>
    <n v="0"/>
    <n v="1"/>
  </r>
  <r>
    <n v="212"/>
    <d v="2025-08-04T00:00:00"/>
    <x v="2"/>
    <x v="23"/>
    <n v="13"/>
    <n v="3000"/>
    <n v="39000"/>
    <n v="7116"/>
    <x v="0"/>
    <n v="7"/>
    <x v="0"/>
    <n v="1"/>
    <x v="0"/>
    <n v="1"/>
    <n v="0"/>
  </r>
  <r>
    <n v="466"/>
    <d v="2025-01-27T00:00:00"/>
    <x v="0"/>
    <x v="23"/>
    <n v="13"/>
    <n v="3000"/>
    <n v="39000"/>
    <n v="11126"/>
    <x v="1"/>
    <n v="9"/>
    <x v="1"/>
    <n v="1"/>
    <x v="0"/>
    <n v="0"/>
    <n v="1"/>
  </r>
  <r>
    <n v="410"/>
    <d v="2025-10-15T00:00:00"/>
    <x v="1"/>
    <x v="21"/>
    <n v="11"/>
    <n v="3500"/>
    <n v="38500"/>
    <n v="10688"/>
    <x v="1"/>
    <n v="6"/>
    <x v="1"/>
    <n v="3"/>
    <x v="1"/>
    <n v="0"/>
    <n v="1"/>
  </r>
  <r>
    <n v="470"/>
    <d v="2024-05-04T00:00:00"/>
    <x v="0"/>
    <x v="21"/>
    <n v="11"/>
    <n v="3500"/>
    <n v="38500"/>
    <n v="9401"/>
    <x v="1"/>
    <n v="3"/>
    <x v="0"/>
    <n v="5"/>
    <x v="1"/>
    <n v="0"/>
    <n v="0"/>
  </r>
  <r>
    <n v="953"/>
    <d v="2025-04-02T00:00:00"/>
    <x v="6"/>
    <x v="22"/>
    <n v="11"/>
    <n v="3500"/>
    <n v="38500"/>
    <n v="11350"/>
    <x v="0"/>
    <n v="8"/>
    <x v="0"/>
    <n v="1"/>
    <x v="0"/>
    <n v="1"/>
    <n v="0"/>
  </r>
  <r>
    <n v="1"/>
    <d v="2025-12-15T00:00:00"/>
    <x v="5"/>
    <x v="7"/>
    <n v="3"/>
    <n v="12000"/>
    <n v="36000"/>
    <n v="9648"/>
    <x v="1"/>
    <n v="7"/>
    <x v="1"/>
    <n v="1"/>
    <x v="1"/>
    <n v="0"/>
    <n v="1"/>
  </r>
  <r>
    <n v="56"/>
    <d v="2025-04-30T00:00:00"/>
    <x v="3"/>
    <x v="23"/>
    <n v="12"/>
    <n v="3000"/>
    <n v="36000"/>
    <n v="7731"/>
    <x v="1"/>
    <n v="3"/>
    <x v="0"/>
    <n v="6"/>
    <x v="0"/>
    <n v="0"/>
    <n v="0"/>
  </r>
  <r>
    <n v="74"/>
    <d v="2025-10-24T00:00:00"/>
    <x v="5"/>
    <x v="3"/>
    <n v="2"/>
    <n v="18000"/>
    <n v="36000"/>
    <n v="9754"/>
    <x v="0"/>
    <n v="7"/>
    <x v="0"/>
    <n v="1"/>
    <x v="0"/>
    <n v="1"/>
    <n v="0"/>
  </r>
  <r>
    <n v="122"/>
    <d v="2024-11-29T00:00:00"/>
    <x v="4"/>
    <x v="20"/>
    <n v="9"/>
    <n v="4000"/>
    <n v="36000"/>
    <n v="8966"/>
    <x v="1"/>
    <n v="2"/>
    <x v="0"/>
    <n v="8"/>
    <x v="0"/>
    <n v="0"/>
    <n v="0"/>
  </r>
  <r>
    <n v="185"/>
    <d v="2024-12-05T00:00:00"/>
    <x v="5"/>
    <x v="8"/>
    <n v="3"/>
    <n v="12000"/>
    <n v="36000"/>
    <n v="9173"/>
    <x v="0"/>
    <n v="3"/>
    <x v="0"/>
    <n v="8"/>
    <x v="0"/>
    <n v="1"/>
    <n v="0"/>
  </r>
  <r>
    <n v="215"/>
    <d v="2025-04-17T00:00:00"/>
    <x v="1"/>
    <x v="13"/>
    <n v="4"/>
    <n v="9000"/>
    <n v="36000"/>
    <n v="5524"/>
    <x v="0"/>
    <n v="4"/>
    <x v="0"/>
    <n v="7"/>
    <x v="0"/>
    <n v="1"/>
    <n v="0"/>
  </r>
  <r>
    <n v="261"/>
    <d v="2025-08-21T00:00:00"/>
    <x v="6"/>
    <x v="7"/>
    <n v="3"/>
    <n v="12000"/>
    <n v="36000"/>
    <n v="5799"/>
    <x v="1"/>
    <n v="6"/>
    <x v="1"/>
    <n v="3"/>
    <x v="0"/>
    <n v="0"/>
    <n v="1"/>
  </r>
  <r>
    <n v="379"/>
    <d v="2025-01-13T00:00:00"/>
    <x v="1"/>
    <x v="6"/>
    <n v="3"/>
    <n v="12000"/>
    <n v="36000"/>
    <n v="8441"/>
    <x v="1"/>
    <n v="3"/>
    <x v="0"/>
    <n v="7"/>
    <x v="0"/>
    <n v="0"/>
    <n v="0"/>
  </r>
  <r>
    <n v="420"/>
    <d v="2025-06-26T00:00:00"/>
    <x v="0"/>
    <x v="18"/>
    <n v="6"/>
    <n v="6000"/>
    <n v="36000"/>
    <n v="10037"/>
    <x v="1"/>
    <n v="2"/>
    <x v="0"/>
    <n v="9"/>
    <x v="0"/>
    <n v="0"/>
    <n v="0"/>
  </r>
  <r>
    <n v="446"/>
    <d v="2025-08-19T00:00:00"/>
    <x v="3"/>
    <x v="8"/>
    <n v="3"/>
    <n v="12000"/>
    <n v="36000"/>
    <n v="5782"/>
    <x v="1"/>
    <n v="6"/>
    <x v="0"/>
    <n v="4"/>
    <x v="0"/>
    <n v="0"/>
    <n v="0"/>
  </r>
  <r>
    <n v="484"/>
    <d v="2025-07-13T00:00:00"/>
    <x v="6"/>
    <x v="6"/>
    <n v="3"/>
    <n v="12000"/>
    <n v="36000"/>
    <n v="10472"/>
    <x v="1"/>
    <n v="7"/>
    <x v="1"/>
    <n v="3"/>
    <x v="0"/>
    <n v="0"/>
    <n v="1"/>
  </r>
  <r>
    <n v="486"/>
    <d v="2024-01-22T00:00:00"/>
    <x v="2"/>
    <x v="12"/>
    <n v="4"/>
    <n v="9000"/>
    <n v="36000"/>
    <n v="7735"/>
    <x v="1"/>
    <n v="7"/>
    <x v="1"/>
    <n v="1"/>
    <x v="0"/>
    <n v="0"/>
    <n v="1"/>
  </r>
  <r>
    <n v="569"/>
    <d v="2024-03-24T00:00:00"/>
    <x v="4"/>
    <x v="20"/>
    <n v="9"/>
    <n v="4000"/>
    <n v="36000"/>
    <n v="8052"/>
    <x v="0"/>
    <n v="4"/>
    <x v="0"/>
    <n v="6"/>
    <x v="1"/>
    <n v="1"/>
    <n v="0"/>
  </r>
  <r>
    <n v="633"/>
    <d v="2024-08-01T00:00:00"/>
    <x v="3"/>
    <x v="6"/>
    <n v="3"/>
    <n v="12000"/>
    <n v="36000"/>
    <n v="7148"/>
    <x v="0"/>
    <n v="6"/>
    <x v="0"/>
    <n v="2"/>
    <x v="0"/>
    <n v="1"/>
    <n v="0"/>
  </r>
  <r>
    <n v="695"/>
    <d v="2024-08-08T00:00:00"/>
    <x v="1"/>
    <x v="23"/>
    <n v="12"/>
    <n v="3000"/>
    <n v="36000"/>
    <n v="8844"/>
    <x v="1"/>
    <n v="6"/>
    <x v="1"/>
    <n v="4"/>
    <x v="0"/>
    <n v="0"/>
    <n v="1"/>
  </r>
  <r>
    <n v="697"/>
    <d v="2024-06-05T00:00:00"/>
    <x v="5"/>
    <x v="3"/>
    <n v="2"/>
    <n v="18000"/>
    <n v="36000"/>
    <n v="5815"/>
    <x v="1"/>
    <n v="2"/>
    <x v="0"/>
    <n v="9"/>
    <x v="0"/>
    <n v="0"/>
    <n v="0"/>
  </r>
  <r>
    <n v="702"/>
    <d v="2024-10-10T00:00:00"/>
    <x v="2"/>
    <x v="7"/>
    <n v="3"/>
    <n v="12000"/>
    <n v="36000"/>
    <n v="5815"/>
    <x v="1"/>
    <n v="3"/>
    <x v="0"/>
    <n v="7"/>
    <x v="1"/>
    <n v="0"/>
    <n v="0"/>
  </r>
  <r>
    <n v="704"/>
    <d v="2025-07-19T00:00:00"/>
    <x v="3"/>
    <x v="7"/>
    <n v="3"/>
    <n v="12000"/>
    <n v="36000"/>
    <n v="9406"/>
    <x v="1"/>
    <n v="2"/>
    <x v="0"/>
    <n v="9"/>
    <x v="1"/>
    <n v="0"/>
    <n v="0"/>
  </r>
  <r>
    <n v="707"/>
    <d v="2024-12-03T00:00:00"/>
    <x v="1"/>
    <x v="12"/>
    <n v="4"/>
    <n v="9000"/>
    <n v="36000"/>
    <n v="8272"/>
    <x v="0"/>
    <n v="7"/>
    <x v="1"/>
    <n v="1"/>
    <x v="1"/>
    <n v="1"/>
    <n v="1"/>
  </r>
  <r>
    <n v="720"/>
    <d v="2024-02-08T00:00:00"/>
    <x v="0"/>
    <x v="12"/>
    <n v="4"/>
    <n v="9000"/>
    <n v="36000"/>
    <n v="9381"/>
    <x v="0"/>
    <n v="4"/>
    <x v="0"/>
    <n v="4"/>
    <x v="0"/>
    <n v="1"/>
    <n v="0"/>
  </r>
  <r>
    <n v="739"/>
    <d v="2024-07-22T00:00:00"/>
    <x v="4"/>
    <x v="12"/>
    <n v="4"/>
    <n v="9000"/>
    <n v="36000"/>
    <n v="9052"/>
    <x v="1"/>
    <n v="1"/>
    <x v="0"/>
    <n v="10"/>
    <x v="0"/>
    <n v="0"/>
    <n v="0"/>
  </r>
  <r>
    <n v="741"/>
    <d v="2024-01-07T00:00:00"/>
    <x v="4"/>
    <x v="12"/>
    <n v="4"/>
    <n v="9000"/>
    <n v="36000"/>
    <n v="9565"/>
    <x v="1"/>
    <n v="1"/>
    <x v="0"/>
    <n v="7"/>
    <x v="1"/>
    <n v="0"/>
    <n v="0"/>
  </r>
  <r>
    <n v="761"/>
    <d v="2024-04-06T00:00:00"/>
    <x v="1"/>
    <x v="3"/>
    <n v="2"/>
    <n v="18000"/>
    <n v="36000"/>
    <n v="6053"/>
    <x v="1"/>
    <n v="3"/>
    <x v="0"/>
    <n v="7"/>
    <x v="0"/>
    <n v="0"/>
    <n v="0"/>
  </r>
  <r>
    <n v="807"/>
    <d v="2025-08-08T00:00:00"/>
    <x v="1"/>
    <x v="23"/>
    <n v="12"/>
    <n v="3000"/>
    <n v="36000"/>
    <n v="8646"/>
    <x v="1"/>
    <n v="4"/>
    <x v="0"/>
    <n v="4"/>
    <x v="0"/>
    <n v="0"/>
    <n v="0"/>
  </r>
  <r>
    <n v="841"/>
    <d v="2025-10-30T00:00:00"/>
    <x v="3"/>
    <x v="20"/>
    <n v="9"/>
    <n v="4000"/>
    <n v="36000"/>
    <n v="10795"/>
    <x v="0"/>
    <n v="8"/>
    <x v="0"/>
    <n v="1"/>
    <x v="0"/>
    <n v="1"/>
    <n v="0"/>
  </r>
  <r>
    <n v="850"/>
    <d v="2024-02-11T00:00:00"/>
    <x v="6"/>
    <x v="7"/>
    <n v="3"/>
    <n v="12000"/>
    <n v="36000"/>
    <n v="9883"/>
    <x v="1"/>
    <n v="5"/>
    <x v="1"/>
    <n v="4"/>
    <x v="0"/>
    <n v="0"/>
    <n v="1"/>
  </r>
  <r>
    <n v="858"/>
    <d v="2025-11-07T00:00:00"/>
    <x v="3"/>
    <x v="8"/>
    <n v="3"/>
    <n v="12000"/>
    <n v="36000"/>
    <n v="5905"/>
    <x v="1"/>
    <n v="3"/>
    <x v="0"/>
    <n v="6"/>
    <x v="0"/>
    <n v="0"/>
    <n v="0"/>
  </r>
  <r>
    <n v="880"/>
    <d v="2025-05-02T00:00:00"/>
    <x v="6"/>
    <x v="18"/>
    <n v="6"/>
    <n v="6000"/>
    <n v="36000"/>
    <n v="6050"/>
    <x v="1"/>
    <n v="5"/>
    <x v="0"/>
    <n v="5"/>
    <x v="0"/>
    <n v="0"/>
    <n v="0"/>
  </r>
  <r>
    <n v="896"/>
    <d v="2024-04-08T00:00:00"/>
    <x v="5"/>
    <x v="7"/>
    <n v="3"/>
    <n v="12000"/>
    <n v="36000"/>
    <n v="10468"/>
    <x v="1"/>
    <n v="1"/>
    <x v="0"/>
    <n v="7"/>
    <x v="0"/>
    <n v="0"/>
    <n v="0"/>
  </r>
  <r>
    <n v="987"/>
    <d v="2025-03-06T00:00:00"/>
    <x v="5"/>
    <x v="23"/>
    <n v="12"/>
    <n v="3000"/>
    <n v="36000"/>
    <n v="6263"/>
    <x v="0"/>
    <n v="9"/>
    <x v="1"/>
    <n v="1"/>
    <x v="0"/>
    <n v="1"/>
    <n v="1"/>
  </r>
  <r>
    <n v="22"/>
    <d v="2024-07-10T00:00:00"/>
    <x v="2"/>
    <x v="15"/>
    <n v="5"/>
    <n v="7000"/>
    <n v="35000"/>
    <n v="5748"/>
    <x v="1"/>
    <n v="4"/>
    <x v="0"/>
    <n v="6"/>
    <x v="0"/>
    <n v="0"/>
    <n v="0"/>
  </r>
  <r>
    <n v="27"/>
    <d v="2025-03-05T00:00:00"/>
    <x v="6"/>
    <x v="22"/>
    <n v="10"/>
    <n v="3500"/>
    <n v="35000"/>
    <n v="9452"/>
    <x v="1"/>
    <n v="7"/>
    <x v="1"/>
    <n v="4"/>
    <x v="1"/>
    <n v="0"/>
    <n v="1"/>
  </r>
  <r>
    <n v="32"/>
    <d v="2025-05-27T00:00:00"/>
    <x v="4"/>
    <x v="17"/>
    <n v="5"/>
    <n v="7000"/>
    <n v="35000"/>
    <n v="8371"/>
    <x v="1"/>
    <n v="3"/>
    <x v="0"/>
    <n v="7"/>
    <x v="0"/>
    <n v="0"/>
    <n v="0"/>
  </r>
  <r>
    <n v="33"/>
    <d v="2025-11-25T00:00:00"/>
    <x v="0"/>
    <x v="15"/>
    <n v="5"/>
    <n v="7000"/>
    <n v="35000"/>
    <n v="10449"/>
    <x v="1"/>
    <n v="4"/>
    <x v="0"/>
    <n v="6"/>
    <x v="0"/>
    <n v="0"/>
    <n v="0"/>
  </r>
  <r>
    <n v="99"/>
    <d v="2025-09-20T00:00:00"/>
    <x v="2"/>
    <x v="22"/>
    <n v="10"/>
    <n v="3500"/>
    <n v="35000"/>
    <n v="5597"/>
    <x v="1"/>
    <n v="5"/>
    <x v="0"/>
    <n v="4"/>
    <x v="0"/>
    <n v="0"/>
    <n v="0"/>
  </r>
  <r>
    <n v="101"/>
    <d v="2025-03-09T00:00:00"/>
    <x v="3"/>
    <x v="15"/>
    <n v="5"/>
    <n v="7000"/>
    <n v="35000"/>
    <n v="5742"/>
    <x v="1"/>
    <n v="2"/>
    <x v="1"/>
    <n v="7"/>
    <x v="1"/>
    <n v="0"/>
    <n v="1"/>
  </r>
  <r>
    <n v="105"/>
    <d v="2024-12-23T00:00:00"/>
    <x v="6"/>
    <x v="16"/>
    <n v="5"/>
    <n v="7000"/>
    <n v="35000"/>
    <n v="8209"/>
    <x v="1"/>
    <n v="3"/>
    <x v="0"/>
    <n v="6"/>
    <x v="0"/>
    <n v="0"/>
    <n v="0"/>
  </r>
  <r>
    <n v="111"/>
    <d v="2025-03-18T00:00:00"/>
    <x v="2"/>
    <x v="22"/>
    <n v="10"/>
    <n v="3500"/>
    <n v="35000"/>
    <n v="8999"/>
    <x v="1"/>
    <n v="9"/>
    <x v="1"/>
    <n v="1"/>
    <x v="0"/>
    <n v="0"/>
    <n v="1"/>
  </r>
  <r>
    <n v="140"/>
    <d v="2025-12-17T00:00:00"/>
    <x v="4"/>
    <x v="17"/>
    <n v="5"/>
    <n v="7000"/>
    <n v="35000"/>
    <n v="8990"/>
    <x v="0"/>
    <n v="7"/>
    <x v="1"/>
    <n v="3"/>
    <x v="0"/>
    <n v="1"/>
    <n v="1"/>
  </r>
  <r>
    <n v="281"/>
    <d v="2025-06-06T00:00:00"/>
    <x v="6"/>
    <x v="22"/>
    <n v="10"/>
    <n v="3500"/>
    <n v="35000"/>
    <n v="7251"/>
    <x v="1"/>
    <n v="5"/>
    <x v="0"/>
    <n v="3"/>
    <x v="0"/>
    <n v="0"/>
    <n v="0"/>
  </r>
  <r>
    <n v="328"/>
    <d v="2025-10-07T00:00:00"/>
    <x v="2"/>
    <x v="17"/>
    <n v="5"/>
    <n v="7000"/>
    <n v="35000"/>
    <n v="9313"/>
    <x v="1"/>
    <n v="6"/>
    <x v="1"/>
    <n v="2"/>
    <x v="0"/>
    <n v="0"/>
    <n v="1"/>
  </r>
  <r>
    <n v="400"/>
    <d v="2025-05-18T00:00:00"/>
    <x v="0"/>
    <x v="17"/>
    <n v="5"/>
    <n v="7000"/>
    <n v="35000"/>
    <n v="6356"/>
    <x v="0"/>
    <n v="3"/>
    <x v="0"/>
    <n v="7"/>
    <x v="0"/>
    <n v="1"/>
    <n v="0"/>
  </r>
  <r>
    <n v="492"/>
    <d v="2025-02-12T00:00:00"/>
    <x v="3"/>
    <x v="17"/>
    <n v="5"/>
    <n v="7000"/>
    <n v="35000"/>
    <n v="8399"/>
    <x v="1"/>
    <n v="3"/>
    <x v="0"/>
    <n v="7"/>
    <x v="1"/>
    <n v="0"/>
    <n v="0"/>
  </r>
  <r>
    <n v="550"/>
    <d v="2024-05-01T00:00:00"/>
    <x v="2"/>
    <x v="17"/>
    <n v="5"/>
    <n v="7000"/>
    <n v="35000"/>
    <n v="5582"/>
    <x v="1"/>
    <n v="3"/>
    <x v="0"/>
    <n v="6"/>
    <x v="1"/>
    <n v="0"/>
    <n v="0"/>
  </r>
  <r>
    <n v="571"/>
    <d v="2025-11-05T00:00:00"/>
    <x v="5"/>
    <x v="21"/>
    <n v="10"/>
    <n v="3500"/>
    <n v="35000"/>
    <n v="5910"/>
    <x v="0"/>
    <n v="9"/>
    <x v="0"/>
    <n v="2"/>
    <x v="0"/>
    <n v="1"/>
    <n v="0"/>
  </r>
  <r>
    <n v="672"/>
    <d v="2024-07-24T00:00:00"/>
    <x v="6"/>
    <x v="16"/>
    <n v="5"/>
    <n v="7000"/>
    <n v="35000"/>
    <n v="7062"/>
    <x v="0"/>
    <n v="6"/>
    <x v="1"/>
    <n v="4"/>
    <x v="0"/>
    <n v="1"/>
    <n v="1"/>
  </r>
  <r>
    <n v="748"/>
    <d v="2024-03-18T00:00:00"/>
    <x v="4"/>
    <x v="17"/>
    <n v="5"/>
    <n v="7000"/>
    <n v="35000"/>
    <n v="7983"/>
    <x v="0"/>
    <n v="2"/>
    <x v="0"/>
    <n v="8"/>
    <x v="1"/>
    <n v="1"/>
    <n v="0"/>
  </r>
  <r>
    <n v="766"/>
    <d v="2025-03-01T00:00:00"/>
    <x v="5"/>
    <x v="16"/>
    <n v="5"/>
    <n v="7000"/>
    <n v="35000"/>
    <n v="5844"/>
    <x v="1"/>
    <n v="6"/>
    <x v="1"/>
    <n v="3"/>
    <x v="1"/>
    <n v="0"/>
    <n v="1"/>
  </r>
  <r>
    <n v="833"/>
    <d v="2024-11-03T00:00:00"/>
    <x v="5"/>
    <x v="22"/>
    <n v="10"/>
    <n v="3500"/>
    <n v="35000"/>
    <n v="6795"/>
    <x v="0"/>
    <n v="6"/>
    <x v="1"/>
    <n v="2"/>
    <x v="0"/>
    <n v="1"/>
    <n v="1"/>
  </r>
  <r>
    <n v="834"/>
    <d v="2024-09-22T00:00:00"/>
    <x v="4"/>
    <x v="15"/>
    <n v="5"/>
    <n v="7000"/>
    <n v="35000"/>
    <n v="7069"/>
    <x v="0"/>
    <n v="3"/>
    <x v="0"/>
    <n v="5"/>
    <x v="0"/>
    <n v="1"/>
    <n v="0"/>
  </r>
  <r>
    <n v="870"/>
    <d v="2024-10-21T00:00:00"/>
    <x v="4"/>
    <x v="16"/>
    <n v="5"/>
    <n v="7000"/>
    <n v="35000"/>
    <n v="5553"/>
    <x v="1"/>
    <n v="7"/>
    <x v="0"/>
    <n v="4"/>
    <x v="1"/>
    <n v="0"/>
    <n v="0"/>
  </r>
  <r>
    <n v="892"/>
    <d v="2025-11-28T00:00:00"/>
    <x v="3"/>
    <x v="15"/>
    <n v="5"/>
    <n v="7000"/>
    <n v="35000"/>
    <n v="5381"/>
    <x v="1"/>
    <n v="4"/>
    <x v="0"/>
    <n v="6"/>
    <x v="0"/>
    <n v="0"/>
    <n v="0"/>
  </r>
  <r>
    <n v="907"/>
    <d v="2024-06-14T00:00:00"/>
    <x v="0"/>
    <x v="21"/>
    <n v="10"/>
    <n v="3500"/>
    <n v="35000"/>
    <n v="5288"/>
    <x v="0"/>
    <n v="8"/>
    <x v="0"/>
    <n v="3"/>
    <x v="0"/>
    <n v="1"/>
    <n v="0"/>
  </r>
  <r>
    <n v="932"/>
    <d v="2025-08-17T00:00:00"/>
    <x v="5"/>
    <x v="16"/>
    <n v="5"/>
    <n v="7000"/>
    <n v="35000"/>
    <n v="9847"/>
    <x v="1"/>
    <n v="2"/>
    <x v="0"/>
    <n v="7"/>
    <x v="1"/>
    <n v="0"/>
    <n v="0"/>
  </r>
  <r>
    <n v="948"/>
    <d v="2024-01-06T00:00:00"/>
    <x v="3"/>
    <x v="15"/>
    <n v="5"/>
    <n v="7000"/>
    <n v="35000"/>
    <n v="6393"/>
    <x v="0"/>
    <n v="5"/>
    <x v="0"/>
    <n v="4"/>
    <x v="1"/>
    <n v="1"/>
    <n v="0"/>
  </r>
  <r>
    <n v="992"/>
    <d v="2025-11-28T00:00:00"/>
    <x v="0"/>
    <x v="19"/>
    <n v="7"/>
    <n v="5000"/>
    <n v="35000"/>
    <n v="5776"/>
    <x v="0"/>
    <n v="7"/>
    <x v="1"/>
    <n v="4"/>
    <x v="0"/>
    <n v="1"/>
    <n v="1"/>
  </r>
  <r>
    <n v="256"/>
    <d v="2025-10-27T00:00:00"/>
    <x v="4"/>
    <x v="9"/>
    <n v="3"/>
    <n v="11000"/>
    <n v="33000"/>
    <n v="5004"/>
    <x v="0"/>
    <n v="1"/>
    <x v="0"/>
    <n v="8"/>
    <x v="0"/>
    <n v="1"/>
    <n v="0"/>
  </r>
  <r>
    <n v="389"/>
    <d v="2024-06-13T00:00:00"/>
    <x v="2"/>
    <x v="23"/>
    <n v="11"/>
    <n v="3000"/>
    <n v="33000"/>
    <n v="7010"/>
    <x v="1"/>
    <n v="5"/>
    <x v="0"/>
    <n v="5"/>
    <x v="0"/>
    <n v="0"/>
    <n v="0"/>
  </r>
  <r>
    <n v="450"/>
    <d v="2025-07-23T00:00:00"/>
    <x v="3"/>
    <x v="9"/>
    <n v="3"/>
    <n v="11000"/>
    <n v="33000"/>
    <n v="5580"/>
    <x v="1"/>
    <n v="1"/>
    <x v="0"/>
    <n v="8"/>
    <x v="0"/>
    <n v="0"/>
    <n v="0"/>
  </r>
  <r>
    <n v="615"/>
    <d v="2024-07-08T00:00:00"/>
    <x v="0"/>
    <x v="23"/>
    <n v="11"/>
    <n v="3000"/>
    <n v="33000"/>
    <n v="5609"/>
    <x v="0"/>
    <n v="6"/>
    <x v="0"/>
    <n v="5"/>
    <x v="0"/>
    <n v="1"/>
    <n v="0"/>
  </r>
  <r>
    <n v="654"/>
    <d v="2024-03-03T00:00:00"/>
    <x v="3"/>
    <x v="9"/>
    <n v="3"/>
    <n v="11000"/>
    <n v="33000"/>
    <n v="8308"/>
    <x v="0"/>
    <n v="6"/>
    <x v="0"/>
    <n v="5"/>
    <x v="0"/>
    <n v="1"/>
    <n v="0"/>
  </r>
  <r>
    <n v="549"/>
    <d v="2025-04-03T00:00:00"/>
    <x v="1"/>
    <x v="24"/>
    <n v="13"/>
    <n v="2500"/>
    <n v="32500"/>
    <n v="7248"/>
    <x v="1"/>
    <n v="4"/>
    <x v="0"/>
    <n v="4"/>
    <x v="1"/>
    <n v="0"/>
    <n v="0"/>
  </r>
  <r>
    <n v="49"/>
    <d v="2025-09-02T00:00:00"/>
    <x v="5"/>
    <x v="20"/>
    <n v="8"/>
    <n v="4000"/>
    <n v="32000"/>
    <n v="9585"/>
    <x v="1"/>
    <n v="5"/>
    <x v="1"/>
    <n v="3"/>
    <x v="0"/>
    <n v="0"/>
    <n v="1"/>
  </r>
  <r>
    <n v="51"/>
    <d v="2025-01-05T00:00:00"/>
    <x v="0"/>
    <x v="20"/>
    <n v="8"/>
    <n v="4000"/>
    <n v="32000"/>
    <n v="5262"/>
    <x v="1"/>
    <n v="2"/>
    <x v="0"/>
    <n v="7"/>
    <x v="0"/>
    <n v="0"/>
    <n v="0"/>
  </r>
  <r>
    <n v="581"/>
    <d v="2024-06-07T00:00:00"/>
    <x v="6"/>
    <x v="14"/>
    <n v="4"/>
    <n v="8000"/>
    <n v="32000"/>
    <n v="6227"/>
    <x v="1"/>
    <n v="3"/>
    <x v="0"/>
    <n v="6"/>
    <x v="1"/>
    <n v="0"/>
    <n v="0"/>
  </r>
  <r>
    <n v="887"/>
    <d v="2024-08-14T00:00:00"/>
    <x v="1"/>
    <x v="14"/>
    <n v="4"/>
    <n v="8000"/>
    <n v="32000"/>
    <n v="9517"/>
    <x v="1"/>
    <n v="6"/>
    <x v="0"/>
    <n v="5"/>
    <x v="0"/>
    <n v="0"/>
    <n v="0"/>
  </r>
  <r>
    <n v="929"/>
    <d v="2025-12-31T00:00:00"/>
    <x v="3"/>
    <x v="14"/>
    <n v="4"/>
    <n v="8000"/>
    <n v="32000"/>
    <n v="9544"/>
    <x v="1"/>
    <n v="5"/>
    <x v="0"/>
    <n v="6"/>
    <x v="0"/>
    <n v="0"/>
    <n v="0"/>
  </r>
  <r>
    <n v="100"/>
    <d v="2024-09-04T00:00:00"/>
    <x v="5"/>
    <x v="21"/>
    <n v="9"/>
    <n v="3500"/>
    <n v="31500"/>
    <n v="5564"/>
    <x v="1"/>
    <n v="8"/>
    <x v="1"/>
    <n v="1"/>
    <x v="0"/>
    <n v="0"/>
    <n v="1"/>
  </r>
  <r>
    <n v="376"/>
    <d v="2024-03-27T00:00:00"/>
    <x v="6"/>
    <x v="22"/>
    <n v="9"/>
    <n v="3500"/>
    <n v="31500"/>
    <n v="4751"/>
    <x v="0"/>
    <n v="6"/>
    <x v="0"/>
    <n v="3"/>
    <x v="1"/>
    <n v="1"/>
    <n v="0"/>
  </r>
  <r>
    <n v="763"/>
    <d v="2024-09-05T00:00:00"/>
    <x v="6"/>
    <x v="22"/>
    <n v="9"/>
    <n v="3500"/>
    <n v="31500"/>
    <n v="7144"/>
    <x v="1"/>
    <n v="3"/>
    <x v="0"/>
    <n v="7"/>
    <x v="0"/>
    <n v="0"/>
    <n v="0"/>
  </r>
  <r>
    <n v="820"/>
    <d v="2024-09-25T00:00:00"/>
    <x v="2"/>
    <x v="22"/>
    <n v="9"/>
    <n v="3500"/>
    <n v="31500"/>
    <n v="8971"/>
    <x v="1"/>
    <n v="8"/>
    <x v="1"/>
    <n v="1"/>
    <x v="0"/>
    <n v="0"/>
    <n v="1"/>
  </r>
  <r>
    <n v="877"/>
    <d v="2025-05-31T00:00:00"/>
    <x v="2"/>
    <x v="21"/>
    <n v="9"/>
    <n v="3500"/>
    <n v="31500"/>
    <n v="4939"/>
    <x v="0"/>
    <n v="6"/>
    <x v="0"/>
    <n v="5"/>
    <x v="0"/>
    <n v="1"/>
    <n v="0"/>
  </r>
  <r>
    <n v="921"/>
    <d v="2024-10-02T00:00:00"/>
    <x v="4"/>
    <x v="21"/>
    <n v="9"/>
    <n v="3500"/>
    <n v="31500"/>
    <n v="6335"/>
    <x v="1"/>
    <n v="4"/>
    <x v="1"/>
    <n v="4"/>
    <x v="0"/>
    <n v="0"/>
    <n v="1"/>
  </r>
  <r>
    <n v="933"/>
    <d v="2025-02-28T00:00:00"/>
    <x v="0"/>
    <x v="21"/>
    <n v="9"/>
    <n v="3500"/>
    <n v="31500"/>
    <n v="6407"/>
    <x v="0"/>
    <n v="3"/>
    <x v="0"/>
    <n v="6"/>
    <x v="1"/>
    <n v="1"/>
    <n v="0"/>
  </r>
  <r>
    <n v="54"/>
    <d v="2024-12-04T00:00:00"/>
    <x v="5"/>
    <x v="4"/>
    <n v="2"/>
    <n v="15000"/>
    <n v="30000"/>
    <n v="5380"/>
    <x v="1"/>
    <n v="7"/>
    <x v="1"/>
    <n v="4"/>
    <x v="0"/>
    <n v="0"/>
    <n v="1"/>
  </r>
  <r>
    <n v="166"/>
    <d v="2025-05-28T00:00:00"/>
    <x v="0"/>
    <x v="19"/>
    <n v="6"/>
    <n v="5000"/>
    <n v="30000"/>
    <n v="8466"/>
    <x v="1"/>
    <n v="4"/>
    <x v="0"/>
    <n v="7"/>
    <x v="0"/>
    <n v="0"/>
    <n v="0"/>
  </r>
  <r>
    <n v="209"/>
    <d v="2024-02-17T00:00:00"/>
    <x v="0"/>
    <x v="4"/>
    <n v="2"/>
    <n v="15000"/>
    <n v="30000"/>
    <n v="7432"/>
    <x v="1"/>
    <n v="1"/>
    <x v="0"/>
    <n v="8"/>
    <x v="1"/>
    <n v="0"/>
    <n v="0"/>
  </r>
  <r>
    <n v="238"/>
    <d v="2024-09-29T00:00:00"/>
    <x v="0"/>
    <x v="11"/>
    <n v="3"/>
    <n v="10000"/>
    <n v="30000"/>
    <n v="7707"/>
    <x v="0"/>
    <n v="6"/>
    <x v="0"/>
    <n v="3"/>
    <x v="0"/>
    <n v="1"/>
    <n v="0"/>
  </r>
  <r>
    <n v="259"/>
    <d v="2024-08-27T00:00:00"/>
    <x v="3"/>
    <x v="24"/>
    <n v="12"/>
    <n v="2500"/>
    <n v="30000"/>
    <n v="8544"/>
    <x v="0"/>
    <n v="3"/>
    <x v="1"/>
    <n v="8"/>
    <x v="0"/>
    <n v="1"/>
    <n v="1"/>
  </r>
  <r>
    <n v="367"/>
    <d v="2025-08-13T00:00:00"/>
    <x v="3"/>
    <x v="24"/>
    <n v="12"/>
    <n v="2500"/>
    <n v="30000"/>
    <n v="8445"/>
    <x v="1"/>
    <n v="9"/>
    <x v="0"/>
    <n v="1"/>
    <x v="0"/>
    <n v="0"/>
    <n v="0"/>
  </r>
  <r>
    <n v="488"/>
    <d v="2025-08-24T00:00:00"/>
    <x v="5"/>
    <x v="10"/>
    <n v="3"/>
    <n v="10000"/>
    <n v="30000"/>
    <n v="5364"/>
    <x v="1"/>
    <n v="5"/>
    <x v="1"/>
    <n v="4"/>
    <x v="1"/>
    <n v="0"/>
    <n v="1"/>
  </r>
  <r>
    <n v="537"/>
    <d v="2024-02-07T00:00:00"/>
    <x v="4"/>
    <x v="24"/>
    <n v="12"/>
    <n v="2500"/>
    <n v="30000"/>
    <n v="8289"/>
    <x v="1"/>
    <n v="4"/>
    <x v="0"/>
    <n v="6"/>
    <x v="0"/>
    <n v="0"/>
    <n v="0"/>
  </r>
  <r>
    <n v="544"/>
    <d v="2025-10-21T00:00:00"/>
    <x v="4"/>
    <x v="24"/>
    <n v="12"/>
    <n v="2500"/>
    <n v="30000"/>
    <n v="6217"/>
    <x v="1"/>
    <n v="8"/>
    <x v="1"/>
    <n v="1"/>
    <x v="0"/>
    <n v="0"/>
    <n v="1"/>
  </r>
  <r>
    <n v="582"/>
    <d v="2024-06-01T00:00:00"/>
    <x v="2"/>
    <x v="19"/>
    <n v="6"/>
    <n v="5000"/>
    <n v="30000"/>
    <n v="5076"/>
    <x v="0"/>
    <n v="4"/>
    <x v="0"/>
    <n v="5"/>
    <x v="0"/>
    <n v="1"/>
    <n v="0"/>
  </r>
  <r>
    <n v="585"/>
    <d v="2024-01-09T00:00:00"/>
    <x v="3"/>
    <x v="4"/>
    <n v="2"/>
    <n v="15000"/>
    <n v="30000"/>
    <n v="7086"/>
    <x v="1"/>
    <n v="5"/>
    <x v="0"/>
    <n v="5"/>
    <x v="1"/>
    <n v="0"/>
    <n v="0"/>
  </r>
  <r>
    <n v="592"/>
    <d v="2024-11-21T00:00:00"/>
    <x v="5"/>
    <x v="10"/>
    <n v="3"/>
    <n v="10000"/>
    <n v="30000"/>
    <n v="4980"/>
    <x v="1"/>
    <n v="7"/>
    <x v="1"/>
    <n v="3"/>
    <x v="0"/>
    <n v="0"/>
    <n v="1"/>
  </r>
  <r>
    <n v="598"/>
    <d v="2024-01-30T00:00:00"/>
    <x v="3"/>
    <x v="23"/>
    <n v="10"/>
    <n v="3000"/>
    <n v="30000"/>
    <n v="7328"/>
    <x v="1"/>
    <n v="6"/>
    <x v="0"/>
    <n v="5"/>
    <x v="0"/>
    <n v="0"/>
    <n v="0"/>
  </r>
  <r>
    <n v="620"/>
    <d v="2025-10-25T00:00:00"/>
    <x v="4"/>
    <x v="10"/>
    <n v="3"/>
    <n v="10000"/>
    <n v="30000"/>
    <n v="5379"/>
    <x v="1"/>
    <n v="4"/>
    <x v="1"/>
    <n v="7"/>
    <x v="0"/>
    <n v="0"/>
    <n v="1"/>
  </r>
  <r>
    <n v="630"/>
    <d v="2025-06-08T00:00:00"/>
    <x v="0"/>
    <x v="4"/>
    <n v="2"/>
    <n v="15000"/>
    <n v="30000"/>
    <n v="7069"/>
    <x v="1"/>
    <n v="2"/>
    <x v="0"/>
    <n v="6"/>
    <x v="0"/>
    <n v="0"/>
    <n v="0"/>
  </r>
  <r>
    <n v="639"/>
    <d v="2025-01-10T00:00:00"/>
    <x v="3"/>
    <x v="18"/>
    <n v="5"/>
    <n v="6000"/>
    <n v="30000"/>
    <n v="5402"/>
    <x v="1"/>
    <n v="2"/>
    <x v="0"/>
    <n v="6"/>
    <x v="1"/>
    <n v="0"/>
    <n v="0"/>
  </r>
  <r>
    <n v="657"/>
    <d v="2024-11-29T00:00:00"/>
    <x v="3"/>
    <x v="11"/>
    <n v="3"/>
    <n v="10000"/>
    <n v="30000"/>
    <n v="6163"/>
    <x v="0"/>
    <n v="3"/>
    <x v="0"/>
    <n v="8"/>
    <x v="0"/>
    <n v="1"/>
    <n v="0"/>
  </r>
  <r>
    <n v="753"/>
    <d v="2024-02-15T00:00:00"/>
    <x v="1"/>
    <x v="4"/>
    <n v="2"/>
    <n v="15000"/>
    <n v="30000"/>
    <n v="7378"/>
    <x v="1"/>
    <n v="3"/>
    <x v="0"/>
    <n v="7"/>
    <x v="1"/>
    <n v="0"/>
    <n v="0"/>
  </r>
  <r>
    <n v="755"/>
    <d v="2024-07-30T00:00:00"/>
    <x v="0"/>
    <x v="18"/>
    <n v="5"/>
    <n v="6000"/>
    <n v="30000"/>
    <n v="7972"/>
    <x v="1"/>
    <n v="2"/>
    <x v="0"/>
    <n v="6"/>
    <x v="1"/>
    <n v="0"/>
    <n v="0"/>
  </r>
  <r>
    <n v="769"/>
    <d v="2024-08-04T00:00:00"/>
    <x v="1"/>
    <x v="24"/>
    <n v="12"/>
    <n v="2500"/>
    <n v="30000"/>
    <n v="4822"/>
    <x v="1"/>
    <n v="8"/>
    <x v="1"/>
    <n v="2"/>
    <x v="0"/>
    <n v="0"/>
    <n v="1"/>
  </r>
  <r>
    <n v="847"/>
    <d v="2024-04-20T00:00:00"/>
    <x v="1"/>
    <x v="18"/>
    <n v="5"/>
    <n v="6000"/>
    <n v="30000"/>
    <n v="7676"/>
    <x v="1"/>
    <n v="5"/>
    <x v="1"/>
    <n v="4"/>
    <x v="0"/>
    <n v="0"/>
    <n v="1"/>
  </r>
  <r>
    <n v="883"/>
    <d v="2024-11-26T00:00:00"/>
    <x v="0"/>
    <x v="18"/>
    <n v="5"/>
    <n v="6000"/>
    <n v="30000"/>
    <n v="7985"/>
    <x v="1"/>
    <n v="7"/>
    <x v="1"/>
    <n v="2"/>
    <x v="0"/>
    <n v="0"/>
    <n v="1"/>
  </r>
  <r>
    <n v="911"/>
    <d v="2024-04-18T00:00:00"/>
    <x v="0"/>
    <x v="4"/>
    <n v="2"/>
    <n v="15000"/>
    <n v="30000"/>
    <n v="7198"/>
    <x v="1"/>
    <n v="6"/>
    <x v="1"/>
    <n v="4"/>
    <x v="0"/>
    <n v="0"/>
    <n v="1"/>
  </r>
  <r>
    <n v="951"/>
    <d v="2024-05-28T00:00:00"/>
    <x v="5"/>
    <x v="23"/>
    <n v="10"/>
    <n v="3000"/>
    <n v="30000"/>
    <n v="6825"/>
    <x v="0"/>
    <n v="8"/>
    <x v="1"/>
    <n v="1"/>
    <x v="1"/>
    <n v="1"/>
    <n v="1"/>
  </r>
  <r>
    <n v="984"/>
    <d v="2025-04-28T00:00:00"/>
    <x v="0"/>
    <x v="19"/>
    <n v="6"/>
    <n v="5000"/>
    <n v="30000"/>
    <n v="6084"/>
    <x v="0"/>
    <n v="5"/>
    <x v="1"/>
    <n v="6"/>
    <x v="0"/>
    <n v="1"/>
    <n v="1"/>
  </r>
  <r>
    <n v="5"/>
    <d v="2025-09-24T00:00:00"/>
    <x v="4"/>
    <x v="17"/>
    <n v="4"/>
    <n v="7000"/>
    <n v="28000"/>
    <n v="8222"/>
    <x v="1"/>
    <n v="5"/>
    <x v="1"/>
    <n v="4"/>
    <x v="0"/>
    <n v="0"/>
    <n v="1"/>
  </r>
  <r>
    <n v="16"/>
    <d v="2024-12-28T00:00:00"/>
    <x v="2"/>
    <x v="22"/>
    <n v="8"/>
    <n v="3500"/>
    <n v="28000"/>
    <n v="5277"/>
    <x v="1"/>
    <n v="4"/>
    <x v="0"/>
    <n v="6"/>
    <x v="0"/>
    <n v="0"/>
    <n v="0"/>
  </r>
  <r>
    <n v="55"/>
    <d v="2024-12-19T00:00:00"/>
    <x v="5"/>
    <x v="21"/>
    <n v="8"/>
    <n v="3500"/>
    <n v="28000"/>
    <n v="6053"/>
    <x v="0"/>
    <n v="6"/>
    <x v="1"/>
    <n v="5"/>
    <x v="0"/>
    <n v="1"/>
    <n v="1"/>
  </r>
  <r>
    <n v="154"/>
    <d v="2024-12-23T00:00:00"/>
    <x v="6"/>
    <x v="16"/>
    <n v="4"/>
    <n v="7000"/>
    <n v="28000"/>
    <n v="6825"/>
    <x v="1"/>
    <n v="3"/>
    <x v="0"/>
    <n v="8"/>
    <x v="0"/>
    <n v="0"/>
    <n v="0"/>
  </r>
  <r>
    <n v="159"/>
    <d v="2025-06-10T00:00:00"/>
    <x v="6"/>
    <x v="17"/>
    <n v="4"/>
    <n v="7000"/>
    <n v="28000"/>
    <n v="5898"/>
    <x v="1"/>
    <n v="6"/>
    <x v="0"/>
    <n v="4"/>
    <x v="0"/>
    <n v="0"/>
    <n v="0"/>
  </r>
  <r>
    <n v="301"/>
    <d v="2025-04-30T00:00:00"/>
    <x v="2"/>
    <x v="5"/>
    <n v="2"/>
    <n v="14000"/>
    <n v="28000"/>
    <n v="6369"/>
    <x v="0"/>
    <n v="4"/>
    <x v="0"/>
    <n v="6"/>
    <x v="0"/>
    <n v="1"/>
    <n v="0"/>
  </r>
  <r>
    <n v="372"/>
    <d v="2025-08-11T00:00:00"/>
    <x v="6"/>
    <x v="5"/>
    <n v="2"/>
    <n v="14000"/>
    <n v="28000"/>
    <n v="7360"/>
    <x v="1"/>
    <n v="5"/>
    <x v="0"/>
    <n v="6"/>
    <x v="0"/>
    <n v="0"/>
    <n v="0"/>
  </r>
  <r>
    <n v="394"/>
    <d v="2025-07-20T00:00:00"/>
    <x v="1"/>
    <x v="17"/>
    <n v="4"/>
    <n v="7000"/>
    <n v="28000"/>
    <n v="4232"/>
    <x v="1"/>
    <n v="6"/>
    <x v="1"/>
    <n v="3"/>
    <x v="0"/>
    <n v="0"/>
    <n v="1"/>
  </r>
  <r>
    <n v="656"/>
    <d v="2024-11-11T00:00:00"/>
    <x v="5"/>
    <x v="17"/>
    <n v="4"/>
    <n v="7000"/>
    <n v="28000"/>
    <n v="8096"/>
    <x v="1"/>
    <n v="7"/>
    <x v="1"/>
    <n v="3"/>
    <x v="0"/>
    <n v="0"/>
    <n v="1"/>
  </r>
  <r>
    <n v="683"/>
    <d v="2024-03-22T00:00:00"/>
    <x v="4"/>
    <x v="21"/>
    <n v="8"/>
    <n v="3500"/>
    <n v="28000"/>
    <n v="7802"/>
    <x v="0"/>
    <n v="4"/>
    <x v="0"/>
    <n v="5"/>
    <x v="0"/>
    <n v="1"/>
    <n v="0"/>
  </r>
  <r>
    <n v="712"/>
    <d v="2024-06-26T00:00:00"/>
    <x v="3"/>
    <x v="15"/>
    <n v="4"/>
    <n v="7000"/>
    <n v="28000"/>
    <n v="5767"/>
    <x v="1"/>
    <n v="3"/>
    <x v="0"/>
    <n v="5"/>
    <x v="0"/>
    <n v="0"/>
    <n v="0"/>
  </r>
  <r>
    <n v="785"/>
    <d v="2024-04-02T00:00:00"/>
    <x v="0"/>
    <x v="17"/>
    <n v="4"/>
    <n v="7000"/>
    <n v="28000"/>
    <n v="5170"/>
    <x v="0"/>
    <n v="5"/>
    <x v="1"/>
    <n v="3"/>
    <x v="1"/>
    <n v="1"/>
    <n v="1"/>
  </r>
  <r>
    <n v="806"/>
    <d v="2025-11-25T00:00:00"/>
    <x v="1"/>
    <x v="15"/>
    <n v="4"/>
    <n v="7000"/>
    <n v="28000"/>
    <n v="5283"/>
    <x v="0"/>
    <n v="2"/>
    <x v="0"/>
    <n v="8"/>
    <x v="1"/>
    <n v="1"/>
    <n v="0"/>
  </r>
  <r>
    <n v="830"/>
    <d v="2024-02-10T00:00:00"/>
    <x v="6"/>
    <x v="21"/>
    <n v="8"/>
    <n v="3500"/>
    <n v="28000"/>
    <n v="7066"/>
    <x v="1"/>
    <n v="8"/>
    <x v="1"/>
    <n v="3"/>
    <x v="0"/>
    <n v="0"/>
    <n v="1"/>
  </r>
  <r>
    <n v="1000"/>
    <d v="2025-11-11T00:00:00"/>
    <x v="1"/>
    <x v="22"/>
    <n v="8"/>
    <n v="3500"/>
    <n v="28000"/>
    <n v="5410"/>
    <x v="0"/>
    <n v="8"/>
    <x v="0"/>
    <n v="1"/>
    <x v="0"/>
    <n v="1"/>
    <n v="0"/>
  </r>
  <r>
    <n v="441"/>
    <d v="2025-11-01T00:00:00"/>
    <x v="4"/>
    <x v="24"/>
    <n v="11"/>
    <n v="2500"/>
    <n v="27500"/>
    <n v="7071"/>
    <x v="1"/>
    <n v="4"/>
    <x v="0"/>
    <n v="5"/>
    <x v="0"/>
    <n v="0"/>
    <n v="0"/>
  </r>
  <r>
    <n v="783"/>
    <d v="2025-08-07T00:00:00"/>
    <x v="1"/>
    <x v="24"/>
    <n v="11"/>
    <n v="2500"/>
    <n v="27500"/>
    <n v="5994"/>
    <x v="1"/>
    <n v="6"/>
    <x v="1"/>
    <n v="4"/>
    <x v="0"/>
    <n v="0"/>
    <n v="1"/>
  </r>
  <r>
    <n v="786"/>
    <d v="2025-09-15T00:00:00"/>
    <x v="6"/>
    <x v="24"/>
    <n v="11"/>
    <n v="2500"/>
    <n v="27500"/>
    <n v="4737"/>
    <x v="0"/>
    <n v="5"/>
    <x v="0"/>
    <n v="5"/>
    <x v="1"/>
    <n v="1"/>
    <n v="0"/>
  </r>
  <r>
    <n v="2"/>
    <d v="2024-08-03T00:00:00"/>
    <x v="2"/>
    <x v="13"/>
    <n v="3"/>
    <n v="9000"/>
    <n v="27000"/>
    <n v="5347"/>
    <x v="1"/>
    <n v="4"/>
    <x v="0"/>
    <n v="7"/>
    <x v="0"/>
    <n v="0"/>
    <n v="0"/>
  </r>
  <r>
    <n v="61"/>
    <d v="2024-04-05T00:00:00"/>
    <x v="5"/>
    <x v="12"/>
    <n v="3"/>
    <n v="9000"/>
    <n v="27000"/>
    <n v="6103"/>
    <x v="1"/>
    <n v="6"/>
    <x v="1"/>
    <n v="3"/>
    <x v="0"/>
    <n v="0"/>
    <n v="1"/>
  </r>
  <r>
    <n v="243"/>
    <d v="2024-03-10T00:00:00"/>
    <x v="4"/>
    <x v="12"/>
    <n v="3"/>
    <n v="9000"/>
    <n v="27000"/>
    <n v="6370"/>
    <x v="1"/>
    <n v="7"/>
    <x v="1"/>
    <n v="1"/>
    <x v="0"/>
    <n v="0"/>
    <n v="1"/>
  </r>
  <r>
    <n v="313"/>
    <d v="2024-02-05T00:00:00"/>
    <x v="5"/>
    <x v="13"/>
    <n v="3"/>
    <n v="9000"/>
    <n v="27000"/>
    <n v="4614"/>
    <x v="0"/>
    <n v="2"/>
    <x v="0"/>
    <n v="8"/>
    <x v="0"/>
    <n v="1"/>
    <n v="0"/>
  </r>
  <r>
    <n v="609"/>
    <d v="2024-12-02T00:00:00"/>
    <x v="6"/>
    <x v="23"/>
    <n v="9"/>
    <n v="3000"/>
    <n v="27000"/>
    <n v="6028"/>
    <x v="1"/>
    <n v="8"/>
    <x v="1"/>
    <n v="1"/>
    <x v="0"/>
    <n v="0"/>
    <n v="1"/>
  </r>
  <r>
    <n v="618"/>
    <d v="2025-09-09T00:00:00"/>
    <x v="5"/>
    <x v="12"/>
    <n v="3"/>
    <n v="9000"/>
    <n v="27000"/>
    <n v="4575"/>
    <x v="1"/>
    <n v="4"/>
    <x v="1"/>
    <n v="5"/>
    <x v="0"/>
    <n v="0"/>
    <n v="1"/>
  </r>
  <r>
    <n v="79"/>
    <d v="2025-11-02T00:00:00"/>
    <x v="1"/>
    <x v="19"/>
    <n v="5"/>
    <n v="5000"/>
    <n v="25000"/>
    <n v="6564"/>
    <x v="0"/>
    <n v="5"/>
    <x v="0"/>
    <n v="6"/>
    <x v="0"/>
    <n v="1"/>
    <n v="0"/>
  </r>
  <r>
    <n v="149"/>
    <d v="2025-02-12T00:00:00"/>
    <x v="2"/>
    <x v="24"/>
    <n v="10"/>
    <n v="2500"/>
    <n v="25000"/>
    <n v="4141"/>
    <x v="1"/>
    <n v="9"/>
    <x v="1"/>
    <n v="2"/>
    <x v="0"/>
    <n v="0"/>
    <n v="1"/>
  </r>
  <r>
    <n v="336"/>
    <d v="2024-10-16T00:00:00"/>
    <x v="2"/>
    <x v="19"/>
    <n v="5"/>
    <n v="5000"/>
    <n v="25000"/>
    <n v="6839"/>
    <x v="1"/>
    <n v="7"/>
    <x v="1"/>
    <n v="3"/>
    <x v="0"/>
    <n v="0"/>
    <n v="1"/>
  </r>
  <r>
    <n v="461"/>
    <d v="2025-01-18T00:00:00"/>
    <x v="0"/>
    <x v="24"/>
    <n v="10"/>
    <n v="2500"/>
    <n v="25000"/>
    <n v="4272"/>
    <x v="1"/>
    <n v="9"/>
    <x v="0"/>
    <n v="2"/>
    <x v="0"/>
    <n v="0"/>
    <n v="0"/>
  </r>
  <r>
    <n v="560"/>
    <d v="2024-03-21T00:00:00"/>
    <x v="0"/>
    <x v="0"/>
    <n v="1"/>
    <n v="25000"/>
    <n v="25000"/>
    <n v="5000"/>
    <x v="0"/>
    <n v="2"/>
    <x v="0"/>
    <n v="9"/>
    <x v="0"/>
    <n v="1"/>
    <n v="0"/>
  </r>
  <r>
    <n v="226"/>
    <d v="2025-01-27T00:00:00"/>
    <x v="4"/>
    <x v="21"/>
    <n v="7"/>
    <n v="3500"/>
    <n v="24500"/>
    <n v="4738"/>
    <x v="1"/>
    <n v="2"/>
    <x v="0"/>
    <n v="7"/>
    <x v="0"/>
    <n v="0"/>
    <n v="0"/>
  </r>
  <r>
    <n v="499"/>
    <d v="2024-09-03T00:00:00"/>
    <x v="6"/>
    <x v="21"/>
    <n v="7"/>
    <n v="3500"/>
    <n v="24500"/>
    <n v="4923"/>
    <x v="0"/>
    <n v="4"/>
    <x v="0"/>
    <n v="4"/>
    <x v="0"/>
    <n v="1"/>
    <n v="0"/>
  </r>
  <r>
    <n v="689"/>
    <d v="2025-08-27T00:00:00"/>
    <x v="2"/>
    <x v="21"/>
    <n v="7"/>
    <n v="3500"/>
    <n v="24500"/>
    <n v="6093"/>
    <x v="1"/>
    <n v="8"/>
    <x v="1"/>
    <n v="2"/>
    <x v="0"/>
    <n v="0"/>
    <n v="1"/>
  </r>
  <r>
    <n v="835"/>
    <d v="2024-03-24T00:00:00"/>
    <x v="1"/>
    <x v="21"/>
    <n v="7"/>
    <n v="3500"/>
    <n v="24500"/>
    <n v="7289"/>
    <x v="1"/>
    <n v="6"/>
    <x v="1"/>
    <n v="2"/>
    <x v="0"/>
    <n v="0"/>
    <n v="1"/>
  </r>
  <r>
    <n v="935"/>
    <d v="2024-05-07T00:00:00"/>
    <x v="1"/>
    <x v="21"/>
    <n v="7"/>
    <n v="3500"/>
    <n v="24500"/>
    <n v="4745"/>
    <x v="0"/>
    <n v="5"/>
    <x v="1"/>
    <n v="4"/>
    <x v="0"/>
    <n v="1"/>
    <n v="1"/>
  </r>
  <r>
    <n v="6"/>
    <d v="2024-04-21T00:00:00"/>
    <x v="1"/>
    <x v="6"/>
    <n v="2"/>
    <n v="12000"/>
    <n v="24000"/>
    <n v="6923"/>
    <x v="1"/>
    <n v="6"/>
    <x v="0"/>
    <n v="5"/>
    <x v="0"/>
    <n v="0"/>
    <n v="0"/>
  </r>
  <r>
    <n v="107"/>
    <d v="2025-10-22T00:00:00"/>
    <x v="2"/>
    <x v="8"/>
    <n v="2"/>
    <n v="12000"/>
    <n v="24000"/>
    <n v="3907"/>
    <x v="1"/>
    <n v="7"/>
    <x v="1"/>
    <n v="1"/>
    <x v="0"/>
    <n v="0"/>
    <n v="1"/>
  </r>
  <r>
    <n v="125"/>
    <d v="2025-01-14T00:00:00"/>
    <x v="0"/>
    <x v="18"/>
    <n v="4"/>
    <n v="6000"/>
    <n v="24000"/>
    <n v="6826"/>
    <x v="0"/>
    <n v="4"/>
    <x v="0"/>
    <n v="4"/>
    <x v="0"/>
    <n v="1"/>
    <n v="0"/>
  </r>
  <r>
    <n v="143"/>
    <d v="2024-05-06T00:00:00"/>
    <x v="4"/>
    <x v="14"/>
    <n v="3"/>
    <n v="8000"/>
    <n v="24000"/>
    <n v="5452"/>
    <x v="1"/>
    <n v="2"/>
    <x v="0"/>
    <n v="7"/>
    <x v="0"/>
    <n v="0"/>
    <n v="0"/>
  </r>
  <r>
    <n v="184"/>
    <d v="2025-04-13T00:00:00"/>
    <x v="4"/>
    <x v="20"/>
    <n v="6"/>
    <n v="4000"/>
    <n v="24000"/>
    <n v="5309"/>
    <x v="1"/>
    <n v="6"/>
    <x v="1"/>
    <n v="2"/>
    <x v="0"/>
    <n v="0"/>
    <n v="1"/>
  </r>
  <r>
    <n v="207"/>
    <d v="2024-12-19T00:00:00"/>
    <x v="2"/>
    <x v="23"/>
    <n v="8"/>
    <n v="3000"/>
    <n v="24000"/>
    <n v="4787"/>
    <x v="1"/>
    <n v="3"/>
    <x v="0"/>
    <n v="6"/>
    <x v="0"/>
    <n v="0"/>
    <n v="0"/>
  </r>
  <r>
    <n v="255"/>
    <d v="2025-01-28T00:00:00"/>
    <x v="3"/>
    <x v="20"/>
    <n v="6"/>
    <n v="4000"/>
    <n v="24000"/>
    <n v="4568"/>
    <x v="0"/>
    <n v="2"/>
    <x v="0"/>
    <n v="6"/>
    <x v="0"/>
    <n v="1"/>
    <n v="0"/>
  </r>
  <r>
    <n v="322"/>
    <d v="2025-10-23T00:00:00"/>
    <x v="1"/>
    <x v="7"/>
    <n v="2"/>
    <n v="12000"/>
    <n v="24000"/>
    <n v="3926"/>
    <x v="1"/>
    <n v="2"/>
    <x v="0"/>
    <n v="7"/>
    <x v="0"/>
    <n v="0"/>
    <n v="0"/>
  </r>
  <r>
    <n v="347"/>
    <d v="2024-08-07T00:00:00"/>
    <x v="5"/>
    <x v="18"/>
    <n v="4"/>
    <n v="6000"/>
    <n v="24000"/>
    <n v="6852"/>
    <x v="0"/>
    <n v="2"/>
    <x v="0"/>
    <n v="8"/>
    <x v="0"/>
    <n v="1"/>
    <n v="0"/>
  </r>
  <r>
    <n v="348"/>
    <d v="2025-10-13T00:00:00"/>
    <x v="6"/>
    <x v="8"/>
    <n v="2"/>
    <n v="12000"/>
    <n v="24000"/>
    <n v="6200"/>
    <x v="0"/>
    <n v="7"/>
    <x v="1"/>
    <n v="3"/>
    <x v="0"/>
    <n v="1"/>
    <n v="1"/>
  </r>
  <r>
    <n v="386"/>
    <d v="2025-06-28T00:00:00"/>
    <x v="5"/>
    <x v="14"/>
    <n v="3"/>
    <n v="8000"/>
    <n v="24000"/>
    <n v="5822"/>
    <x v="1"/>
    <n v="4"/>
    <x v="0"/>
    <n v="7"/>
    <x v="0"/>
    <n v="0"/>
    <n v="0"/>
  </r>
  <r>
    <n v="496"/>
    <d v="2025-07-27T00:00:00"/>
    <x v="3"/>
    <x v="14"/>
    <n v="3"/>
    <n v="8000"/>
    <n v="24000"/>
    <n v="4725"/>
    <x v="0"/>
    <n v="2"/>
    <x v="0"/>
    <n v="6"/>
    <x v="0"/>
    <n v="1"/>
    <n v="0"/>
  </r>
  <r>
    <n v="561"/>
    <d v="2024-02-29T00:00:00"/>
    <x v="0"/>
    <x v="7"/>
    <n v="2"/>
    <n v="12000"/>
    <n v="24000"/>
    <n v="4202"/>
    <x v="0"/>
    <n v="1"/>
    <x v="1"/>
    <n v="9"/>
    <x v="1"/>
    <n v="1"/>
    <n v="1"/>
  </r>
  <r>
    <n v="641"/>
    <d v="2025-02-02T00:00:00"/>
    <x v="5"/>
    <x v="20"/>
    <n v="6"/>
    <n v="4000"/>
    <n v="24000"/>
    <n v="5438"/>
    <x v="1"/>
    <n v="5"/>
    <x v="1"/>
    <n v="3"/>
    <x v="0"/>
    <n v="0"/>
    <n v="1"/>
  </r>
  <r>
    <n v="648"/>
    <d v="2025-03-20T00:00:00"/>
    <x v="5"/>
    <x v="7"/>
    <n v="2"/>
    <n v="12000"/>
    <n v="24000"/>
    <n v="5384"/>
    <x v="1"/>
    <n v="5"/>
    <x v="0"/>
    <n v="6"/>
    <x v="0"/>
    <n v="0"/>
    <n v="0"/>
  </r>
  <r>
    <n v="680"/>
    <d v="2024-10-17T00:00:00"/>
    <x v="2"/>
    <x v="14"/>
    <n v="3"/>
    <n v="8000"/>
    <n v="24000"/>
    <n v="4807"/>
    <x v="1"/>
    <n v="6"/>
    <x v="1"/>
    <n v="4"/>
    <x v="1"/>
    <n v="0"/>
    <n v="1"/>
  </r>
  <r>
    <n v="777"/>
    <d v="2025-10-28T00:00:00"/>
    <x v="1"/>
    <x v="18"/>
    <n v="4"/>
    <n v="6000"/>
    <n v="24000"/>
    <n v="3759"/>
    <x v="1"/>
    <n v="7"/>
    <x v="0"/>
    <n v="2"/>
    <x v="0"/>
    <n v="0"/>
    <n v="0"/>
  </r>
  <r>
    <n v="778"/>
    <d v="2024-09-23T00:00:00"/>
    <x v="2"/>
    <x v="6"/>
    <n v="2"/>
    <n v="12000"/>
    <n v="24000"/>
    <n v="3988"/>
    <x v="1"/>
    <n v="3"/>
    <x v="0"/>
    <n v="5"/>
    <x v="0"/>
    <n v="0"/>
    <n v="0"/>
  </r>
  <r>
    <n v="867"/>
    <d v="2024-06-06T00:00:00"/>
    <x v="1"/>
    <x v="18"/>
    <n v="4"/>
    <n v="6000"/>
    <n v="24000"/>
    <n v="3807"/>
    <x v="1"/>
    <n v="3"/>
    <x v="0"/>
    <n v="6"/>
    <x v="0"/>
    <n v="0"/>
    <n v="0"/>
  </r>
  <r>
    <n v="926"/>
    <d v="2024-07-28T00:00:00"/>
    <x v="4"/>
    <x v="7"/>
    <n v="2"/>
    <n v="12000"/>
    <n v="24000"/>
    <n v="6150"/>
    <x v="1"/>
    <n v="3"/>
    <x v="0"/>
    <n v="7"/>
    <x v="0"/>
    <n v="0"/>
    <n v="0"/>
  </r>
  <r>
    <n v="258"/>
    <d v="2025-09-17T00:00:00"/>
    <x v="4"/>
    <x v="24"/>
    <n v="9"/>
    <n v="2500"/>
    <n v="22500"/>
    <n v="5342"/>
    <x v="1"/>
    <n v="8"/>
    <x v="0"/>
    <n v="1"/>
    <x v="0"/>
    <n v="0"/>
    <n v="0"/>
  </r>
  <r>
    <n v="357"/>
    <d v="2025-10-11T00:00:00"/>
    <x v="4"/>
    <x v="24"/>
    <n v="9"/>
    <n v="2500"/>
    <n v="22500"/>
    <n v="5570"/>
    <x v="0"/>
    <n v="3"/>
    <x v="0"/>
    <n v="8"/>
    <x v="0"/>
    <n v="1"/>
    <n v="0"/>
  </r>
  <r>
    <n v="631"/>
    <d v="2024-02-28T00:00:00"/>
    <x v="6"/>
    <x v="24"/>
    <n v="9"/>
    <n v="2500"/>
    <n v="22500"/>
    <n v="5584"/>
    <x v="1"/>
    <n v="8"/>
    <x v="1"/>
    <n v="3"/>
    <x v="0"/>
    <n v="0"/>
    <n v="1"/>
  </r>
  <r>
    <n v="882"/>
    <d v="2025-12-11T00:00:00"/>
    <x v="4"/>
    <x v="24"/>
    <n v="9"/>
    <n v="2500"/>
    <n v="22500"/>
    <n v="4600"/>
    <x v="1"/>
    <n v="5"/>
    <x v="1"/>
    <n v="3"/>
    <x v="0"/>
    <n v="0"/>
    <n v="1"/>
  </r>
  <r>
    <n v="832"/>
    <d v="2025-08-03T00:00:00"/>
    <x v="0"/>
    <x v="1"/>
    <n v="1"/>
    <n v="22000"/>
    <n v="22000"/>
    <n v="3854"/>
    <x v="0"/>
    <n v="6"/>
    <x v="1"/>
    <n v="2"/>
    <x v="0"/>
    <n v="1"/>
    <n v="1"/>
  </r>
  <r>
    <n v="862"/>
    <d v="2024-10-02T00:00:00"/>
    <x v="0"/>
    <x v="1"/>
    <n v="1"/>
    <n v="22000"/>
    <n v="22000"/>
    <n v="3580"/>
    <x v="1"/>
    <n v="3"/>
    <x v="1"/>
    <n v="6"/>
    <x v="1"/>
    <n v="0"/>
    <n v="1"/>
  </r>
  <r>
    <n v="976"/>
    <d v="2024-03-19T00:00:00"/>
    <x v="5"/>
    <x v="1"/>
    <n v="1"/>
    <n v="22000"/>
    <n v="22000"/>
    <n v="5341"/>
    <x v="1"/>
    <n v="6"/>
    <x v="0"/>
    <n v="5"/>
    <x v="0"/>
    <n v="0"/>
    <n v="0"/>
  </r>
  <r>
    <n v="4"/>
    <d v="2024-04-09T00:00:00"/>
    <x v="4"/>
    <x v="17"/>
    <n v="3"/>
    <n v="7000"/>
    <n v="21000"/>
    <n v="4334"/>
    <x v="0"/>
    <n v="6"/>
    <x v="0"/>
    <n v="4"/>
    <x v="0"/>
    <n v="1"/>
    <n v="0"/>
  </r>
  <r>
    <n v="77"/>
    <d v="2024-01-10T00:00:00"/>
    <x v="6"/>
    <x v="17"/>
    <n v="3"/>
    <n v="7000"/>
    <n v="21000"/>
    <n v="3461"/>
    <x v="1"/>
    <n v="5"/>
    <x v="1"/>
    <n v="4"/>
    <x v="0"/>
    <n v="0"/>
    <n v="1"/>
  </r>
  <r>
    <n v="132"/>
    <d v="2025-11-05T00:00:00"/>
    <x v="1"/>
    <x v="21"/>
    <n v="6"/>
    <n v="3500"/>
    <n v="21000"/>
    <n v="4168"/>
    <x v="1"/>
    <n v="8"/>
    <x v="0"/>
    <n v="1"/>
    <x v="0"/>
    <n v="0"/>
    <n v="0"/>
  </r>
  <r>
    <n v="288"/>
    <d v="2024-07-13T00:00:00"/>
    <x v="4"/>
    <x v="22"/>
    <n v="6"/>
    <n v="3500"/>
    <n v="21000"/>
    <n v="3677"/>
    <x v="0"/>
    <n v="4"/>
    <x v="0"/>
    <n v="5"/>
    <x v="0"/>
    <n v="1"/>
    <n v="0"/>
  </r>
  <r>
    <n v="333"/>
    <d v="2025-01-08T00:00:00"/>
    <x v="5"/>
    <x v="17"/>
    <n v="3"/>
    <n v="7000"/>
    <n v="21000"/>
    <n v="3599"/>
    <x v="0"/>
    <n v="6"/>
    <x v="0"/>
    <n v="5"/>
    <x v="0"/>
    <n v="1"/>
    <n v="0"/>
  </r>
  <r>
    <n v="365"/>
    <d v="2025-05-21T00:00:00"/>
    <x v="4"/>
    <x v="21"/>
    <n v="6"/>
    <n v="3500"/>
    <n v="21000"/>
    <n v="6286"/>
    <x v="1"/>
    <n v="5"/>
    <x v="1"/>
    <n v="5"/>
    <x v="0"/>
    <n v="0"/>
    <n v="1"/>
  </r>
  <r>
    <n v="374"/>
    <d v="2024-06-27T00:00:00"/>
    <x v="1"/>
    <x v="21"/>
    <n v="6"/>
    <n v="3500"/>
    <n v="21000"/>
    <n v="3927"/>
    <x v="0"/>
    <n v="3"/>
    <x v="0"/>
    <n v="6"/>
    <x v="1"/>
    <n v="1"/>
    <n v="0"/>
  </r>
  <r>
    <n v="443"/>
    <d v="2025-02-03T00:00:00"/>
    <x v="0"/>
    <x v="23"/>
    <n v="7"/>
    <n v="3000"/>
    <n v="21000"/>
    <n v="3861"/>
    <x v="1"/>
    <n v="3"/>
    <x v="0"/>
    <n v="7"/>
    <x v="0"/>
    <n v="0"/>
    <n v="0"/>
  </r>
  <r>
    <n v="512"/>
    <d v="2025-11-24T00:00:00"/>
    <x v="3"/>
    <x v="15"/>
    <n v="3"/>
    <n v="7000"/>
    <n v="21000"/>
    <n v="4581"/>
    <x v="0"/>
    <n v="4"/>
    <x v="0"/>
    <n v="5"/>
    <x v="0"/>
    <n v="1"/>
    <n v="0"/>
  </r>
  <r>
    <n v="517"/>
    <d v="2024-04-24T00:00:00"/>
    <x v="4"/>
    <x v="22"/>
    <n v="6"/>
    <n v="3500"/>
    <n v="21000"/>
    <n v="3625"/>
    <x v="1"/>
    <n v="8"/>
    <x v="1"/>
    <n v="1"/>
    <x v="0"/>
    <n v="0"/>
    <n v="1"/>
  </r>
  <r>
    <n v="542"/>
    <d v="2025-04-06T00:00:00"/>
    <x v="5"/>
    <x v="17"/>
    <n v="3"/>
    <n v="7000"/>
    <n v="21000"/>
    <n v="4706"/>
    <x v="0"/>
    <n v="5"/>
    <x v="0"/>
    <n v="5"/>
    <x v="0"/>
    <n v="1"/>
    <n v="0"/>
  </r>
  <r>
    <n v="590"/>
    <d v="2025-01-29T00:00:00"/>
    <x v="2"/>
    <x v="15"/>
    <n v="3"/>
    <n v="7000"/>
    <n v="21000"/>
    <n v="5892"/>
    <x v="0"/>
    <n v="6"/>
    <x v="1"/>
    <n v="4"/>
    <x v="1"/>
    <n v="1"/>
    <n v="1"/>
  </r>
  <r>
    <n v="643"/>
    <d v="2025-07-18T00:00:00"/>
    <x v="3"/>
    <x v="16"/>
    <n v="3"/>
    <n v="7000"/>
    <n v="21000"/>
    <n v="5598"/>
    <x v="1"/>
    <n v="7"/>
    <x v="0"/>
    <n v="3"/>
    <x v="1"/>
    <n v="0"/>
    <n v="0"/>
  </r>
  <r>
    <n v="819"/>
    <d v="2025-03-08T00:00:00"/>
    <x v="5"/>
    <x v="23"/>
    <n v="7"/>
    <n v="3000"/>
    <n v="21000"/>
    <n v="5776"/>
    <x v="0"/>
    <n v="2"/>
    <x v="0"/>
    <n v="7"/>
    <x v="1"/>
    <n v="1"/>
    <n v="0"/>
  </r>
  <r>
    <n v="39"/>
    <d v="2024-03-16T00:00:00"/>
    <x v="6"/>
    <x v="20"/>
    <n v="5"/>
    <n v="4000"/>
    <n v="20000"/>
    <n v="3408"/>
    <x v="0"/>
    <n v="3"/>
    <x v="0"/>
    <n v="6"/>
    <x v="0"/>
    <n v="1"/>
    <n v="0"/>
  </r>
  <r>
    <n v="219"/>
    <d v="2024-01-02T00:00:00"/>
    <x v="4"/>
    <x v="20"/>
    <n v="5"/>
    <n v="4000"/>
    <n v="20000"/>
    <n v="5191"/>
    <x v="1"/>
    <n v="2"/>
    <x v="1"/>
    <n v="8"/>
    <x v="0"/>
    <n v="0"/>
    <n v="1"/>
  </r>
  <r>
    <n v="350"/>
    <d v="2024-10-11T00:00:00"/>
    <x v="2"/>
    <x v="19"/>
    <n v="4"/>
    <n v="5000"/>
    <n v="20000"/>
    <n v="5412"/>
    <x v="1"/>
    <n v="7"/>
    <x v="0"/>
    <n v="4"/>
    <x v="0"/>
    <n v="0"/>
    <n v="0"/>
  </r>
  <r>
    <n v="423"/>
    <d v="2024-02-12T00:00:00"/>
    <x v="2"/>
    <x v="10"/>
    <n v="2"/>
    <n v="10000"/>
    <n v="20000"/>
    <n v="3238"/>
    <x v="1"/>
    <n v="4"/>
    <x v="0"/>
    <n v="7"/>
    <x v="0"/>
    <n v="0"/>
    <n v="0"/>
  </r>
  <r>
    <n v="501"/>
    <d v="2025-01-31T00:00:00"/>
    <x v="3"/>
    <x v="10"/>
    <n v="2"/>
    <n v="10000"/>
    <n v="20000"/>
    <n v="5317"/>
    <x v="1"/>
    <n v="6"/>
    <x v="1"/>
    <n v="4"/>
    <x v="0"/>
    <n v="0"/>
    <n v="1"/>
  </r>
  <r>
    <n v="524"/>
    <d v="2024-12-19T00:00:00"/>
    <x v="3"/>
    <x v="19"/>
    <n v="4"/>
    <n v="5000"/>
    <n v="20000"/>
    <n v="5268"/>
    <x v="1"/>
    <n v="6"/>
    <x v="0"/>
    <n v="2"/>
    <x v="0"/>
    <n v="0"/>
    <n v="0"/>
  </r>
  <r>
    <n v="527"/>
    <d v="2025-08-14T00:00:00"/>
    <x v="6"/>
    <x v="2"/>
    <n v="1"/>
    <n v="20000"/>
    <n v="20000"/>
    <n v="4112"/>
    <x v="1"/>
    <n v="4"/>
    <x v="0"/>
    <n v="6"/>
    <x v="0"/>
    <n v="0"/>
    <n v="0"/>
  </r>
  <r>
    <n v="557"/>
    <d v="2025-11-02T00:00:00"/>
    <x v="6"/>
    <x v="2"/>
    <n v="1"/>
    <n v="20000"/>
    <n v="20000"/>
    <n v="3463"/>
    <x v="0"/>
    <n v="2"/>
    <x v="0"/>
    <n v="6"/>
    <x v="0"/>
    <n v="1"/>
    <n v="0"/>
  </r>
  <r>
    <n v="563"/>
    <d v="2025-04-29T00:00:00"/>
    <x v="4"/>
    <x v="10"/>
    <n v="2"/>
    <n v="10000"/>
    <n v="20000"/>
    <n v="5207"/>
    <x v="0"/>
    <n v="3"/>
    <x v="0"/>
    <n v="6"/>
    <x v="0"/>
    <n v="1"/>
    <n v="0"/>
  </r>
  <r>
    <n v="622"/>
    <d v="2025-12-24T00:00:00"/>
    <x v="3"/>
    <x v="11"/>
    <n v="2"/>
    <n v="10000"/>
    <n v="20000"/>
    <n v="4888"/>
    <x v="1"/>
    <n v="2"/>
    <x v="0"/>
    <n v="6"/>
    <x v="0"/>
    <n v="0"/>
    <n v="0"/>
  </r>
  <r>
    <n v="698"/>
    <d v="2025-09-02T00:00:00"/>
    <x v="5"/>
    <x v="20"/>
    <n v="5"/>
    <n v="4000"/>
    <n v="20000"/>
    <n v="4118"/>
    <x v="1"/>
    <n v="5"/>
    <x v="0"/>
    <n v="6"/>
    <x v="0"/>
    <n v="0"/>
    <n v="0"/>
  </r>
  <r>
    <n v="730"/>
    <d v="2025-04-30T00:00:00"/>
    <x v="2"/>
    <x v="19"/>
    <n v="4"/>
    <n v="5000"/>
    <n v="20000"/>
    <n v="4310"/>
    <x v="1"/>
    <n v="6"/>
    <x v="0"/>
    <n v="3"/>
    <x v="1"/>
    <n v="0"/>
    <n v="0"/>
  </r>
  <r>
    <n v="737"/>
    <d v="2024-01-24T00:00:00"/>
    <x v="6"/>
    <x v="20"/>
    <n v="5"/>
    <n v="4000"/>
    <n v="20000"/>
    <n v="3582"/>
    <x v="0"/>
    <n v="7"/>
    <x v="1"/>
    <n v="2"/>
    <x v="0"/>
    <n v="1"/>
    <n v="1"/>
  </r>
  <r>
    <n v="861"/>
    <d v="2025-10-28T00:00:00"/>
    <x v="0"/>
    <x v="2"/>
    <n v="1"/>
    <n v="20000"/>
    <n v="20000"/>
    <n v="5583"/>
    <x v="1"/>
    <n v="5"/>
    <x v="1"/>
    <n v="3"/>
    <x v="0"/>
    <n v="0"/>
    <n v="1"/>
  </r>
  <r>
    <n v="23"/>
    <d v="2025-02-13T00:00:00"/>
    <x v="6"/>
    <x v="12"/>
    <n v="2"/>
    <n v="9000"/>
    <n v="18000"/>
    <n v="5362"/>
    <x v="1"/>
    <n v="1"/>
    <x v="0"/>
    <n v="10"/>
    <x v="1"/>
    <n v="0"/>
    <n v="0"/>
  </r>
  <r>
    <n v="78"/>
    <d v="2025-07-23T00:00:00"/>
    <x v="5"/>
    <x v="13"/>
    <n v="2"/>
    <n v="9000"/>
    <n v="18000"/>
    <n v="2845"/>
    <x v="1"/>
    <n v="1"/>
    <x v="0"/>
    <n v="7"/>
    <x v="0"/>
    <n v="0"/>
    <n v="0"/>
  </r>
  <r>
    <n v="118"/>
    <d v="2024-03-24T00:00:00"/>
    <x v="4"/>
    <x v="23"/>
    <n v="6"/>
    <n v="3000"/>
    <n v="18000"/>
    <n v="4947"/>
    <x v="1"/>
    <n v="3"/>
    <x v="1"/>
    <n v="5"/>
    <x v="0"/>
    <n v="0"/>
    <n v="1"/>
  </r>
  <r>
    <n v="199"/>
    <d v="2025-10-28T00:00:00"/>
    <x v="2"/>
    <x v="23"/>
    <n v="6"/>
    <n v="3000"/>
    <n v="18000"/>
    <n v="4469"/>
    <x v="1"/>
    <n v="4"/>
    <x v="0"/>
    <n v="4"/>
    <x v="0"/>
    <n v="0"/>
    <n v="0"/>
  </r>
  <r>
    <n v="312"/>
    <d v="2025-09-01T00:00:00"/>
    <x v="3"/>
    <x v="12"/>
    <n v="2"/>
    <n v="9000"/>
    <n v="18000"/>
    <n v="3989"/>
    <x v="0"/>
    <n v="3"/>
    <x v="0"/>
    <n v="6"/>
    <x v="0"/>
    <n v="1"/>
    <n v="0"/>
  </r>
  <r>
    <n v="388"/>
    <d v="2025-07-31T00:00:00"/>
    <x v="0"/>
    <x v="3"/>
    <n v="1"/>
    <n v="18000"/>
    <n v="18000"/>
    <n v="4100"/>
    <x v="1"/>
    <n v="2"/>
    <x v="0"/>
    <n v="7"/>
    <x v="0"/>
    <n v="0"/>
    <n v="0"/>
  </r>
  <r>
    <n v="449"/>
    <d v="2025-03-11T00:00:00"/>
    <x v="6"/>
    <x v="3"/>
    <n v="1"/>
    <n v="18000"/>
    <n v="18000"/>
    <n v="4820"/>
    <x v="1"/>
    <n v="3"/>
    <x v="0"/>
    <n v="6"/>
    <x v="0"/>
    <n v="0"/>
    <n v="0"/>
  </r>
  <r>
    <n v="478"/>
    <d v="2024-12-04T00:00:00"/>
    <x v="0"/>
    <x v="12"/>
    <n v="2"/>
    <n v="9000"/>
    <n v="18000"/>
    <n v="3760"/>
    <x v="0"/>
    <n v="5"/>
    <x v="0"/>
    <n v="6"/>
    <x v="0"/>
    <n v="1"/>
    <n v="0"/>
  </r>
  <r>
    <n v="489"/>
    <d v="2025-05-08T00:00:00"/>
    <x v="2"/>
    <x v="12"/>
    <n v="2"/>
    <n v="9000"/>
    <n v="18000"/>
    <n v="3917"/>
    <x v="1"/>
    <n v="6"/>
    <x v="1"/>
    <n v="4"/>
    <x v="0"/>
    <n v="0"/>
    <n v="1"/>
  </r>
  <r>
    <n v="651"/>
    <d v="2024-02-22T00:00:00"/>
    <x v="0"/>
    <x v="23"/>
    <n v="6"/>
    <n v="3000"/>
    <n v="18000"/>
    <n v="2851"/>
    <x v="1"/>
    <n v="8"/>
    <x v="1"/>
    <n v="3"/>
    <x v="0"/>
    <n v="0"/>
    <n v="1"/>
  </r>
  <r>
    <n v="659"/>
    <d v="2024-10-29T00:00:00"/>
    <x v="1"/>
    <x v="18"/>
    <n v="3"/>
    <n v="6000"/>
    <n v="18000"/>
    <n v="2853"/>
    <x v="0"/>
    <n v="3"/>
    <x v="0"/>
    <n v="7"/>
    <x v="0"/>
    <n v="1"/>
    <n v="0"/>
  </r>
  <r>
    <n v="732"/>
    <d v="2025-09-11T00:00:00"/>
    <x v="2"/>
    <x v="3"/>
    <n v="1"/>
    <n v="18000"/>
    <n v="18000"/>
    <n v="4858"/>
    <x v="0"/>
    <n v="3"/>
    <x v="0"/>
    <n v="8"/>
    <x v="0"/>
    <n v="1"/>
    <n v="0"/>
  </r>
  <r>
    <n v="790"/>
    <d v="2025-10-09T00:00:00"/>
    <x v="0"/>
    <x v="13"/>
    <n v="2"/>
    <n v="9000"/>
    <n v="18000"/>
    <n v="4645"/>
    <x v="1"/>
    <n v="6"/>
    <x v="0"/>
    <n v="5"/>
    <x v="0"/>
    <n v="0"/>
    <n v="0"/>
  </r>
  <r>
    <n v="827"/>
    <d v="2025-08-09T00:00:00"/>
    <x v="2"/>
    <x v="13"/>
    <n v="2"/>
    <n v="9000"/>
    <n v="18000"/>
    <n v="4924"/>
    <x v="1"/>
    <n v="3"/>
    <x v="0"/>
    <n v="5"/>
    <x v="0"/>
    <n v="0"/>
    <n v="0"/>
  </r>
  <r>
    <n v="901"/>
    <d v="2024-05-04T00:00:00"/>
    <x v="2"/>
    <x v="12"/>
    <n v="2"/>
    <n v="9000"/>
    <n v="18000"/>
    <n v="5267"/>
    <x v="1"/>
    <n v="4"/>
    <x v="0"/>
    <n v="6"/>
    <x v="1"/>
    <n v="0"/>
    <n v="0"/>
  </r>
  <r>
    <n v="938"/>
    <d v="2024-12-25T00:00:00"/>
    <x v="1"/>
    <x v="13"/>
    <n v="2"/>
    <n v="9000"/>
    <n v="18000"/>
    <n v="3621"/>
    <x v="1"/>
    <n v="3"/>
    <x v="0"/>
    <n v="8"/>
    <x v="0"/>
    <n v="0"/>
    <n v="0"/>
  </r>
  <r>
    <n v="961"/>
    <d v="2024-10-30T00:00:00"/>
    <x v="5"/>
    <x v="12"/>
    <n v="2"/>
    <n v="9000"/>
    <n v="18000"/>
    <n v="3266"/>
    <x v="0"/>
    <n v="2"/>
    <x v="0"/>
    <n v="6"/>
    <x v="0"/>
    <n v="1"/>
    <n v="0"/>
  </r>
  <r>
    <n v="25"/>
    <d v="2025-05-11T00:00:00"/>
    <x v="2"/>
    <x v="24"/>
    <n v="7"/>
    <n v="2500"/>
    <n v="17500"/>
    <n v="4608"/>
    <x v="0"/>
    <n v="2"/>
    <x v="0"/>
    <n v="7"/>
    <x v="0"/>
    <n v="1"/>
    <n v="0"/>
  </r>
  <r>
    <n v="128"/>
    <d v="2025-03-03T00:00:00"/>
    <x v="6"/>
    <x v="24"/>
    <n v="7"/>
    <n v="2500"/>
    <n v="17500"/>
    <n v="4704"/>
    <x v="1"/>
    <n v="5"/>
    <x v="1"/>
    <n v="6"/>
    <x v="0"/>
    <n v="0"/>
    <n v="1"/>
  </r>
  <r>
    <n v="170"/>
    <d v="2024-01-10T00:00:00"/>
    <x v="5"/>
    <x v="22"/>
    <n v="5"/>
    <n v="3500"/>
    <n v="17500"/>
    <n v="4383"/>
    <x v="1"/>
    <n v="8"/>
    <x v="1"/>
    <n v="3"/>
    <x v="0"/>
    <n v="0"/>
    <n v="1"/>
  </r>
  <r>
    <n v="263"/>
    <d v="2024-09-26T00:00:00"/>
    <x v="4"/>
    <x v="21"/>
    <n v="5"/>
    <n v="3500"/>
    <n v="17500"/>
    <n v="2974"/>
    <x v="0"/>
    <n v="8"/>
    <x v="1"/>
    <n v="1"/>
    <x v="0"/>
    <n v="1"/>
    <n v="1"/>
  </r>
  <r>
    <n v="331"/>
    <d v="2025-06-02T00:00:00"/>
    <x v="6"/>
    <x v="21"/>
    <n v="5"/>
    <n v="3500"/>
    <n v="17500"/>
    <n v="3402"/>
    <x v="1"/>
    <n v="3"/>
    <x v="0"/>
    <n v="6"/>
    <x v="0"/>
    <n v="0"/>
    <n v="0"/>
  </r>
  <r>
    <n v="546"/>
    <d v="2024-12-13T00:00:00"/>
    <x v="0"/>
    <x v="21"/>
    <n v="5"/>
    <n v="3500"/>
    <n v="17500"/>
    <n v="4139"/>
    <x v="1"/>
    <n v="8"/>
    <x v="1"/>
    <n v="2"/>
    <x v="0"/>
    <n v="0"/>
    <n v="1"/>
  </r>
  <r>
    <n v="660"/>
    <d v="2024-05-20T00:00:00"/>
    <x v="1"/>
    <x v="24"/>
    <n v="7"/>
    <n v="2500"/>
    <n v="17500"/>
    <n v="3201"/>
    <x v="0"/>
    <n v="3"/>
    <x v="0"/>
    <n v="5"/>
    <x v="0"/>
    <n v="1"/>
    <n v="0"/>
  </r>
  <r>
    <n v="718"/>
    <d v="2025-05-20T00:00:00"/>
    <x v="2"/>
    <x v="21"/>
    <n v="5"/>
    <n v="3500"/>
    <n v="17500"/>
    <n v="4068"/>
    <x v="1"/>
    <n v="2"/>
    <x v="0"/>
    <n v="9"/>
    <x v="0"/>
    <n v="0"/>
    <n v="0"/>
  </r>
  <r>
    <n v="840"/>
    <d v="2025-06-15T00:00:00"/>
    <x v="1"/>
    <x v="24"/>
    <n v="7"/>
    <n v="2500"/>
    <n v="17500"/>
    <n v="4078"/>
    <x v="0"/>
    <n v="4"/>
    <x v="0"/>
    <n v="7"/>
    <x v="0"/>
    <n v="1"/>
    <n v="0"/>
  </r>
  <r>
    <n v="996"/>
    <d v="2025-07-03T00:00:00"/>
    <x v="6"/>
    <x v="24"/>
    <n v="7"/>
    <n v="2500"/>
    <n v="17500"/>
    <n v="3751"/>
    <x v="0"/>
    <n v="5"/>
    <x v="0"/>
    <n v="3"/>
    <x v="0"/>
    <n v="1"/>
    <n v="0"/>
  </r>
  <r>
    <n v="12"/>
    <d v="2025-10-01T00:00:00"/>
    <x v="4"/>
    <x v="14"/>
    <n v="2"/>
    <n v="8000"/>
    <n v="16000"/>
    <n v="3765"/>
    <x v="1"/>
    <n v="5"/>
    <x v="0"/>
    <n v="5"/>
    <x v="0"/>
    <n v="0"/>
    <n v="0"/>
  </r>
  <r>
    <n v="60"/>
    <d v="2025-01-07T00:00:00"/>
    <x v="5"/>
    <x v="14"/>
    <n v="2"/>
    <n v="8000"/>
    <n v="16000"/>
    <n v="2471"/>
    <x v="1"/>
    <n v="7"/>
    <x v="1"/>
    <n v="1"/>
    <x v="0"/>
    <n v="0"/>
    <n v="1"/>
  </r>
  <r>
    <n v="93"/>
    <d v="2025-07-23T00:00:00"/>
    <x v="2"/>
    <x v="14"/>
    <n v="2"/>
    <n v="8000"/>
    <n v="16000"/>
    <n v="2511"/>
    <x v="0"/>
    <n v="2"/>
    <x v="0"/>
    <n v="6"/>
    <x v="0"/>
    <n v="1"/>
    <n v="0"/>
  </r>
  <r>
    <n v="167"/>
    <d v="2025-05-07T00:00:00"/>
    <x v="3"/>
    <x v="20"/>
    <n v="4"/>
    <n v="4000"/>
    <n v="16000"/>
    <n v="4460"/>
    <x v="1"/>
    <n v="6"/>
    <x v="1"/>
    <n v="3"/>
    <x v="0"/>
    <n v="0"/>
    <n v="1"/>
  </r>
  <r>
    <n v="810"/>
    <d v="2024-05-26T00:00:00"/>
    <x v="2"/>
    <x v="14"/>
    <n v="2"/>
    <n v="8000"/>
    <n v="16000"/>
    <n v="3170"/>
    <x v="1"/>
    <n v="6"/>
    <x v="1"/>
    <n v="3"/>
    <x v="0"/>
    <n v="0"/>
    <n v="1"/>
  </r>
  <r>
    <n v="945"/>
    <d v="2025-06-25T00:00:00"/>
    <x v="3"/>
    <x v="14"/>
    <n v="2"/>
    <n v="8000"/>
    <n v="16000"/>
    <n v="2468"/>
    <x v="0"/>
    <n v="3"/>
    <x v="0"/>
    <n v="5"/>
    <x v="0"/>
    <n v="1"/>
    <n v="0"/>
  </r>
  <r>
    <n v="31"/>
    <d v="2025-09-16T00:00:00"/>
    <x v="6"/>
    <x v="24"/>
    <n v="6"/>
    <n v="2500"/>
    <n v="15000"/>
    <n v="2653"/>
    <x v="1"/>
    <n v="3"/>
    <x v="0"/>
    <n v="6"/>
    <x v="0"/>
    <n v="0"/>
    <n v="0"/>
  </r>
  <r>
    <n v="71"/>
    <d v="2024-05-02T00:00:00"/>
    <x v="2"/>
    <x v="24"/>
    <n v="6"/>
    <n v="2500"/>
    <n v="15000"/>
    <n v="2948"/>
    <x v="1"/>
    <n v="3"/>
    <x v="0"/>
    <n v="6"/>
    <x v="0"/>
    <n v="0"/>
    <n v="0"/>
  </r>
  <r>
    <n v="211"/>
    <d v="2025-04-14T00:00:00"/>
    <x v="3"/>
    <x v="23"/>
    <n v="5"/>
    <n v="3000"/>
    <n v="15000"/>
    <n v="3815"/>
    <x v="1"/>
    <n v="8"/>
    <x v="1"/>
    <n v="3"/>
    <x v="0"/>
    <n v="0"/>
    <n v="1"/>
  </r>
  <r>
    <n v="292"/>
    <d v="2025-12-16T00:00:00"/>
    <x v="1"/>
    <x v="23"/>
    <n v="5"/>
    <n v="3000"/>
    <n v="15000"/>
    <n v="3253"/>
    <x v="1"/>
    <n v="8"/>
    <x v="1"/>
    <n v="1"/>
    <x v="0"/>
    <n v="0"/>
    <n v="1"/>
  </r>
  <r>
    <n v="701"/>
    <d v="2025-04-03T00:00:00"/>
    <x v="0"/>
    <x v="19"/>
    <n v="3"/>
    <n v="5000"/>
    <n v="15000"/>
    <n v="3900"/>
    <x v="1"/>
    <n v="3"/>
    <x v="0"/>
    <n v="7"/>
    <x v="0"/>
    <n v="0"/>
    <n v="0"/>
  </r>
  <r>
    <n v="740"/>
    <d v="2025-06-25T00:00:00"/>
    <x v="1"/>
    <x v="19"/>
    <n v="3"/>
    <n v="5000"/>
    <n v="15000"/>
    <n v="2460"/>
    <x v="1"/>
    <n v="7"/>
    <x v="1"/>
    <n v="1"/>
    <x v="0"/>
    <n v="0"/>
    <n v="1"/>
  </r>
  <r>
    <n v="842"/>
    <d v="2025-12-03T00:00:00"/>
    <x v="6"/>
    <x v="19"/>
    <n v="3"/>
    <n v="5000"/>
    <n v="15000"/>
    <n v="2589"/>
    <x v="1"/>
    <n v="4"/>
    <x v="0"/>
    <n v="7"/>
    <x v="0"/>
    <n v="0"/>
    <n v="0"/>
  </r>
  <r>
    <n v="859"/>
    <d v="2025-09-25T00:00:00"/>
    <x v="2"/>
    <x v="24"/>
    <n v="6"/>
    <n v="2500"/>
    <n v="15000"/>
    <n v="3715"/>
    <x v="1"/>
    <n v="2"/>
    <x v="0"/>
    <n v="8"/>
    <x v="1"/>
    <n v="0"/>
    <n v="0"/>
  </r>
  <r>
    <n v="57"/>
    <d v="2024-08-17T00:00:00"/>
    <x v="5"/>
    <x v="5"/>
    <n v="1"/>
    <n v="14000"/>
    <n v="14000"/>
    <n v="2768"/>
    <x v="0"/>
    <n v="3"/>
    <x v="0"/>
    <n v="8"/>
    <x v="0"/>
    <n v="1"/>
    <n v="0"/>
  </r>
  <r>
    <n v="59"/>
    <d v="2024-06-29T00:00:00"/>
    <x v="6"/>
    <x v="22"/>
    <n v="4"/>
    <n v="3500"/>
    <n v="14000"/>
    <n v="3433"/>
    <x v="1"/>
    <n v="7"/>
    <x v="1"/>
    <n v="4"/>
    <x v="1"/>
    <n v="0"/>
    <n v="1"/>
  </r>
  <r>
    <n v="91"/>
    <d v="2025-09-01T00:00:00"/>
    <x v="0"/>
    <x v="21"/>
    <n v="4"/>
    <n v="3500"/>
    <n v="14000"/>
    <n v="3088"/>
    <x v="1"/>
    <n v="1"/>
    <x v="0"/>
    <n v="7"/>
    <x v="0"/>
    <n v="0"/>
    <n v="0"/>
  </r>
  <r>
    <n v="106"/>
    <d v="2024-01-12T00:00:00"/>
    <x v="5"/>
    <x v="22"/>
    <n v="4"/>
    <n v="3500"/>
    <n v="14000"/>
    <n v="3578"/>
    <x v="1"/>
    <n v="5"/>
    <x v="0"/>
    <n v="5"/>
    <x v="0"/>
    <n v="0"/>
    <n v="0"/>
  </r>
  <r>
    <n v="137"/>
    <d v="2024-05-08T00:00:00"/>
    <x v="0"/>
    <x v="5"/>
    <n v="1"/>
    <n v="14000"/>
    <n v="14000"/>
    <n v="2469"/>
    <x v="1"/>
    <n v="6"/>
    <x v="0"/>
    <n v="5"/>
    <x v="0"/>
    <n v="0"/>
    <n v="0"/>
  </r>
  <r>
    <n v="165"/>
    <d v="2024-02-13T00:00:00"/>
    <x v="4"/>
    <x v="21"/>
    <n v="4"/>
    <n v="3500"/>
    <n v="14000"/>
    <n v="3045"/>
    <x v="0"/>
    <n v="2"/>
    <x v="0"/>
    <n v="9"/>
    <x v="0"/>
    <n v="1"/>
    <n v="0"/>
  </r>
  <r>
    <n v="198"/>
    <d v="2025-07-22T00:00:00"/>
    <x v="5"/>
    <x v="17"/>
    <n v="2"/>
    <n v="7000"/>
    <n v="14000"/>
    <n v="3967"/>
    <x v="0"/>
    <n v="7"/>
    <x v="1"/>
    <n v="3"/>
    <x v="0"/>
    <n v="1"/>
    <n v="1"/>
  </r>
  <r>
    <n v="232"/>
    <d v="2025-05-29T00:00:00"/>
    <x v="2"/>
    <x v="15"/>
    <n v="2"/>
    <n v="7000"/>
    <n v="14000"/>
    <n v="4144"/>
    <x v="1"/>
    <n v="3"/>
    <x v="0"/>
    <n v="7"/>
    <x v="1"/>
    <n v="0"/>
    <n v="0"/>
  </r>
  <r>
    <n v="416"/>
    <d v="2024-02-21T00:00:00"/>
    <x v="2"/>
    <x v="21"/>
    <n v="4"/>
    <n v="3500"/>
    <n v="14000"/>
    <n v="3909"/>
    <x v="1"/>
    <n v="5"/>
    <x v="0"/>
    <n v="6"/>
    <x v="0"/>
    <n v="0"/>
    <n v="0"/>
  </r>
  <r>
    <n v="430"/>
    <d v="2025-09-24T00:00:00"/>
    <x v="6"/>
    <x v="15"/>
    <n v="2"/>
    <n v="7000"/>
    <n v="14000"/>
    <n v="3026"/>
    <x v="1"/>
    <n v="2"/>
    <x v="0"/>
    <n v="6"/>
    <x v="0"/>
    <n v="0"/>
    <n v="0"/>
  </r>
  <r>
    <n v="447"/>
    <d v="2024-06-28T00:00:00"/>
    <x v="2"/>
    <x v="16"/>
    <n v="2"/>
    <n v="7000"/>
    <n v="14000"/>
    <n v="2555"/>
    <x v="0"/>
    <n v="1"/>
    <x v="0"/>
    <n v="10"/>
    <x v="0"/>
    <n v="1"/>
    <n v="0"/>
  </r>
  <r>
    <n v="455"/>
    <d v="2024-12-22T00:00:00"/>
    <x v="3"/>
    <x v="5"/>
    <n v="1"/>
    <n v="14000"/>
    <n v="14000"/>
    <n v="2733"/>
    <x v="0"/>
    <n v="2"/>
    <x v="0"/>
    <n v="8"/>
    <x v="0"/>
    <n v="1"/>
    <n v="0"/>
  </r>
  <r>
    <n v="513"/>
    <d v="2025-11-18T00:00:00"/>
    <x v="3"/>
    <x v="22"/>
    <n v="4"/>
    <n v="3500"/>
    <n v="14000"/>
    <n v="3038"/>
    <x v="1"/>
    <n v="3"/>
    <x v="0"/>
    <n v="7"/>
    <x v="0"/>
    <n v="0"/>
    <n v="0"/>
  </r>
  <r>
    <n v="634"/>
    <d v="2025-01-08T00:00:00"/>
    <x v="1"/>
    <x v="22"/>
    <n v="4"/>
    <n v="3500"/>
    <n v="14000"/>
    <n v="2937"/>
    <x v="1"/>
    <n v="2"/>
    <x v="0"/>
    <n v="9"/>
    <x v="0"/>
    <n v="0"/>
    <n v="0"/>
  </r>
  <r>
    <n v="684"/>
    <d v="2024-03-13T00:00:00"/>
    <x v="6"/>
    <x v="15"/>
    <n v="2"/>
    <n v="7000"/>
    <n v="14000"/>
    <n v="2519"/>
    <x v="0"/>
    <n v="1"/>
    <x v="0"/>
    <n v="10"/>
    <x v="0"/>
    <n v="1"/>
    <n v="0"/>
  </r>
  <r>
    <n v="690"/>
    <d v="2024-09-16T00:00:00"/>
    <x v="5"/>
    <x v="22"/>
    <n v="4"/>
    <n v="3500"/>
    <n v="14000"/>
    <n v="3409"/>
    <x v="1"/>
    <n v="6"/>
    <x v="0"/>
    <n v="5"/>
    <x v="0"/>
    <n v="0"/>
    <n v="0"/>
  </r>
  <r>
    <n v="703"/>
    <d v="2024-06-27T00:00:00"/>
    <x v="4"/>
    <x v="22"/>
    <n v="4"/>
    <n v="3500"/>
    <n v="14000"/>
    <n v="2273"/>
    <x v="1"/>
    <n v="3"/>
    <x v="0"/>
    <n v="5"/>
    <x v="0"/>
    <n v="0"/>
    <n v="0"/>
  </r>
  <r>
    <n v="665"/>
    <d v="2025-06-05T00:00:00"/>
    <x v="5"/>
    <x v="24"/>
    <n v="5"/>
    <n v="2500"/>
    <n v="12500"/>
    <n v="1988"/>
    <x v="0"/>
    <n v="8"/>
    <x v="1"/>
    <n v="1"/>
    <x v="0"/>
    <n v="1"/>
    <n v="1"/>
  </r>
  <r>
    <n v="814"/>
    <d v="2024-09-04T00:00:00"/>
    <x v="2"/>
    <x v="24"/>
    <n v="5"/>
    <n v="2500"/>
    <n v="12500"/>
    <n v="1915"/>
    <x v="1"/>
    <n v="6"/>
    <x v="1"/>
    <n v="3"/>
    <x v="0"/>
    <n v="0"/>
    <n v="1"/>
  </r>
  <r>
    <n v="14"/>
    <d v="2025-09-10T00:00:00"/>
    <x v="6"/>
    <x v="18"/>
    <n v="2"/>
    <n v="6000"/>
    <n v="12000"/>
    <n v="3404"/>
    <x v="0"/>
    <n v="6"/>
    <x v="0"/>
    <n v="3"/>
    <x v="0"/>
    <n v="1"/>
    <n v="0"/>
  </r>
  <r>
    <n v="64"/>
    <d v="2025-12-25T00:00:00"/>
    <x v="4"/>
    <x v="7"/>
    <n v="1"/>
    <n v="12000"/>
    <n v="12000"/>
    <n v="2382"/>
    <x v="1"/>
    <n v="4"/>
    <x v="0"/>
    <n v="7"/>
    <x v="0"/>
    <n v="0"/>
    <n v="0"/>
  </r>
  <r>
    <n v="97"/>
    <d v="2025-06-18T00:00:00"/>
    <x v="3"/>
    <x v="23"/>
    <n v="4"/>
    <n v="3000"/>
    <n v="12000"/>
    <n v="3148"/>
    <x v="1"/>
    <n v="3"/>
    <x v="0"/>
    <n v="7"/>
    <x v="0"/>
    <n v="0"/>
    <n v="0"/>
  </r>
  <r>
    <n v="161"/>
    <d v="2025-04-12T00:00:00"/>
    <x v="6"/>
    <x v="18"/>
    <n v="2"/>
    <n v="6000"/>
    <n v="12000"/>
    <n v="2834"/>
    <x v="1"/>
    <n v="2"/>
    <x v="0"/>
    <n v="8"/>
    <x v="1"/>
    <n v="0"/>
    <n v="0"/>
  </r>
  <r>
    <n v="192"/>
    <d v="2024-08-03T00:00:00"/>
    <x v="3"/>
    <x v="7"/>
    <n v="1"/>
    <n v="12000"/>
    <n v="12000"/>
    <n v="3326"/>
    <x v="1"/>
    <n v="7"/>
    <x v="1"/>
    <n v="2"/>
    <x v="0"/>
    <n v="0"/>
    <n v="1"/>
  </r>
  <r>
    <n v="270"/>
    <d v="2025-05-29T00:00:00"/>
    <x v="0"/>
    <x v="6"/>
    <n v="1"/>
    <n v="12000"/>
    <n v="12000"/>
    <n v="2263"/>
    <x v="0"/>
    <n v="2"/>
    <x v="0"/>
    <n v="7"/>
    <x v="0"/>
    <n v="1"/>
    <n v="0"/>
  </r>
  <r>
    <n v="395"/>
    <d v="2025-03-29T00:00:00"/>
    <x v="5"/>
    <x v="18"/>
    <n v="2"/>
    <n v="6000"/>
    <n v="12000"/>
    <n v="3357"/>
    <x v="1"/>
    <n v="7"/>
    <x v="1"/>
    <n v="2"/>
    <x v="0"/>
    <n v="0"/>
    <n v="1"/>
  </r>
  <r>
    <n v="432"/>
    <d v="2024-04-25T00:00:00"/>
    <x v="2"/>
    <x v="20"/>
    <n v="3"/>
    <n v="4000"/>
    <n v="12000"/>
    <n v="3012"/>
    <x v="1"/>
    <n v="7"/>
    <x v="1"/>
    <n v="3"/>
    <x v="1"/>
    <n v="0"/>
    <n v="1"/>
  </r>
  <r>
    <n v="506"/>
    <d v="2024-01-14T00:00:00"/>
    <x v="6"/>
    <x v="23"/>
    <n v="4"/>
    <n v="3000"/>
    <n v="12000"/>
    <n v="2525"/>
    <x v="1"/>
    <n v="3"/>
    <x v="0"/>
    <n v="8"/>
    <x v="0"/>
    <n v="0"/>
    <n v="0"/>
  </r>
  <r>
    <n v="529"/>
    <d v="2025-09-25T00:00:00"/>
    <x v="0"/>
    <x v="7"/>
    <n v="1"/>
    <n v="12000"/>
    <n v="12000"/>
    <n v="2492"/>
    <x v="0"/>
    <n v="4"/>
    <x v="0"/>
    <n v="4"/>
    <x v="0"/>
    <n v="1"/>
    <n v="0"/>
  </r>
  <r>
    <n v="552"/>
    <d v="2024-08-23T00:00:00"/>
    <x v="5"/>
    <x v="7"/>
    <n v="1"/>
    <n v="12000"/>
    <n v="12000"/>
    <n v="2253"/>
    <x v="1"/>
    <n v="6"/>
    <x v="0"/>
    <n v="5"/>
    <x v="0"/>
    <n v="0"/>
    <n v="0"/>
  </r>
  <r>
    <n v="608"/>
    <d v="2025-09-27T00:00:00"/>
    <x v="5"/>
    <x v="7"/>
    <n v="1"/>
    <n v="12000"/>
    <n v="12000"/>
    <n v="2551"/>
    <x v="0"/>
    <n v="2"/>
    <x v="0"/>
    <n v="8"/>
    <x v="0"/>
    <n v="1"/>
    <n v="0"/>
  </r>
  <r>
    <n v="650"/>
    <d v="2025-10-15T00:00:00"/>
    <x v="3"/>
    <x v="6"/>
    <n v="1"/>
    <n v="12000"/>
    <n v="12000"/>
    <n v="2750"/>
    <x v="1"/>
    <n v="3"/>
    <x v="0"/>
    <n v="6"/>
    <x v="0"/>
    <n v="0"/>
    <n v="0"/>
  </r>
  <r>
    <n v="699"/>
    <d v="2024-05-11T00:00:00"/>
    <x v="1"/>
    <x v="6"/>
    <n v="1"/>
    <n v="12000"/>
    <n v="12000"/>
    <n v="1804"/>
    <x v="1"/>
    <n v="2"/>
    <x v="0"/>
    <n v="9"/>
    <x v="1"/>
    <n v="0"/>
    <n v="0"/>
  </r>
  <r>
    <n v="791"/>
    <d v="2024-05-19T00:00:00"/>
    <x v="3"/>
    <x v="8"/>
    <n v="1"/>
    <n v="12000"/>
    <n v="12000"/>
    <n v="2083"/>
    <x v="0"/>
    <n v="7"/>
    <x v="0"/>
    <n v="1"/>
    <x v="0"/>
    <n v="1"/>
    <n v="0"/>
  </r>
  <r>
    <n v="815"/>
    <d v="2025-03-23T00:00:00"/>
    <x v="4"/>
    <x v="20"/>
    <n v="3"/>
    <n v="4000"/>
    <n v="12000"/>
    <n v="2717"/>
    <x v="1"/>
    <n v="1"/>
    <x v="0"/>
    <n v="10"/>
    <x v="1"/>
    <n v="0"/>
    <n v="0"/>
  </r>
  <r>
    <n v="981"/>
    <d v="2025-10-02T00:00:00"/>
    <x v="3"/>
    <x v="8"/>
    <n v="1"/>
    <n v="12000"/>
    <n v="12000"/>
    <n v="2692"/>
    <x v="0"/>
    <n v="3"/>
    <x v="0"/>
    <n v="7"/>
    <x v="0"/>
    <n v="1"/>
    <n v="0"/>
  </r>
  <r>
    <n v="20"/>
    <d v="2025-04-22T00:00:00"/>
    <x v="1"/>
    <x v="22"/>
    <n v="3"/>
    <n v="3500"/>
    <n v="10500"/>
    <n v="2299"/>
    <x v="1"/>
    <n v="1"/>
    <x v="0"/>
    <n v="8"/>
    <x v="0"/>
    <n v="0"/>
    <n v="0"/>
  </r>
  <r>
    <n v="349"/>
    <d v="2025-08-02T00:00:00"/>
    <x v="4"/>
    <x v="21"/>
    <n v="3"/>
    <n v="3500"/>
    <n v="10500"/>
    <n v="2000"/>
    <x v="1"/>
    <n v="4"/>
    <x v="0"/>
    <n v="7"/>
    <x v="1"/>
    <n v="0"/>
    <n v="0"/>
  </r>
  <r>
    <n v="398"/>
    <d v="2024-01-19T00:00:00"/>
    <x v="0"/>
    <x v="22"/>
    <n v="3"/>
    <n v="3500"/>
    <n v="10500"/>
    <n v="1824"/>
    <x v="1"/>
    <n v="6"/>
    <x v="0"/>
    <n v="3"/>
    <x v="1"/>
    <n v="0"/>
    <n v="0"/>
  </r>
  <r>
    <n v="408"/>
    <d v="2024-09-01T00:00:00"/>
    <x v="0"/>
    <x v="21"/>
    <n v="3"/>
    <n v="3500"/>
    <n v="10500"/>
    <n v="3042"/>
    <x v="1"/>
    <n v="1"/>
    <x v="0"/>
    <n v="10"/>
    <x v="0"/>
    <n v="0"/>
    <n v="0"/>
  </r>
  <r>
    <n v="822"/>
    <d v="2025-12-21T00:00:00"/>
    <x v="1"/>
    <x v="21"/>
    <n v="3"/>
    <n v="3500"/>
    <n v="10500"/>
    <n v="2290"/>
    <x v="1"/>
    <n v="6"/>
    <x v="0"/>
    <n v="5"/>
    <x v="1"/>
    <n v="0"/>
    <n v="0"/>
  </r>
  <r>
    <n v="38"/>
    <d v="2025-12-03T00:00:00"/>
    <x v="3"/>
    <x v="24"/>
    <n v="4"/>
    <n v="2500"/>
    <n v="10000"/>
    <n v="2745"/>
    <x v="1"/>
    <n v="1"/>
    <x v="0"/>
    <n v="7"/>
    <x v="0"/>
    <n v="0"/>
    <n v="0"/>
  </r>
  <r>
    <n v="81"/>
    <d v="2024-03-23T00:00:00"/>
    <x v="1"/>
    <x v="10"/>
    <n v="1"/>
    <n v="10000"/>
    <n v="10000"/>
    <n v="2828"/>
    <x v="1"/>
    <n v="1"/>
    <x v="0"/>
    <n v="8"/>
    <x v="1"/>
    <n v="0"/>
    <n v="0"/>
  </r>
  <r>
    <n v="83"/>
    <d v="2025-12-29T00:00:00"/>
    <x v="0"/>
    <x v="10"/>
    <n v="1"/>
    <n v="10000"/>
    <n v="10000"/>
    <n v="2108"/>
    <x v="1"/>
    <n v="6"/>
    <x v="1"/>
    <n v="2"/>
    <x v="0"/>
    <n v="0"/>
    <n v="1"/>
  </r>
  <r>
    <n v="88"/>
    <d v="2024-04-15T00:00:00"/>
    <x v="0"/>
    <x v="11"/>
    <n v="1"/>
    <n v="10000"/>
    <n v="10000"/>
    <n v="2207"/>
    <x v="1"/>
    <n v="1"/>
    <x v="0"/>
    <n v="10"/>
    <x v="1"/>
    <n v="0"/>
    <n v="0"/>
  </r>
  <r>
    <n v="150"/>
    <d v="2024-08-29T00:00:00"/>
    <x v="6"/>
    <x v="19"/>
    <n v="2"/>
    <n v="5000"/>
    <n v="10000"/>
    <n v="2604"/>
    <x v="1"/>
    <n v="3"/>
    <x v="1"/>
    <n v="5"/>
    <x v="0"/>
    <n v="0"/>
    <n v="1"/>
  </r>
  <r>
    <n v="249"/>
    <d v="2025-05-16T00:00:00"/>
    <x v="1"/>
    <x v="19"/>
    <n v="2"/>
    <n v="5000"/>
    <n v="10000"/>
    <n v="2546"/>
    <x v="1"/>
    <n v="7"/>
    <x v="1"/>
    <n v="4"/>
    <x v="0"/>
    <n v="0"/>
    <n v="1"/>
  </r>
  <r>
    <n v="303"/>
    <d v="2025-01-07T00:00:00"/>
    <x v="4"/>
    <x v="19"/>
    <n v="2"/>
    <n v="5000"/>
    <n v="10000"/>
    <n v="2364"/>
    <x v="1"/>
    <n v="5"/>
    <x v="0"/>
    <n v="6"/>
    <x v="0"/>
    <n v="0"/>
    <n v="0"/>
  </r>
  <r>
    <n v="371"/>
    <d v="2025-09-13T00:00:00"/>
    <x v="6"/>
    <x v="10"/>
    <n v="1"/>
    <n v="10000"/>
    <n v="10000"/>
    <n v="1958"/>
    <x v="1"/>
    <n v="7"/>
    <x v="1"/>
    <n v="2"/>
    <x v="1"/>
    <n v="0"/>
    <n v="1"/>
  </r>
  <r>
    <n v="553"/>
    <d v="2025-06-10T00:00:00"/>
    <x v="6"/>
    <x v="24"/>
    <n v="4"/>
    <n v="2500"/>
    <n v="10000"/>
    <n v="1734"/>
    <x v="1"/>
    <n v="7"/>
    <x v="1"/>
    <n v="2"/>
    <x v="0"/>
    <n v="0"/>
    <n v="1"/>
  </r>
  <r>
    <n v="751"/>
    <d v="2025-10-04T00:00:00"/>
    <x v="4"/>
    <x v="19"/>
    <n v="2"/>
    <n v="5000"/>
    <n v="10000"/>
    <n v="1820"/>
    <x v="1"/>
    <n v="2"/>
    <x v="0"/>
    <n v="6"/>
    <x v="1"/>
    <n v="0"/>
    <n v="0"/>
  </r>
  <r>
    <n v="980"/>
    <d v="2025-04-01T00:00:00"/>
    <x v="5"/>
    <x v="19"/>
    <n v="2"/>
    <n v="5000"/>
    <n v="10000"/>
    <n v="2533"/>
    <x v="1"/>
    <n v="7"/>
    <x v="0"/>
    <n v="4"/>
    <x v="0"/>
    <n v="0"/>
    <n v="0"/>
  </r>
  <r>
    <n v="69"/>
    <d v="2024-06-11T00:00:00"/>
    <x v="4"/>
    <x v="13"/>
    <n v="1"/>
    <n v="9000"/>
    <n v="9000"/>
    <n v="1444"/>
    <x v="1"/>
    <n v="6"/>
    <x v="1"/>
    <n v="2"/>
    <x v="0"/>
    <n v="0"/>
    <n v="1"/>
  </r>
  <r>
    <n v="480"/>
    <d v="2025-02-14T00:00:00"/>
    <x v="5"/>
    <x v="12"/>
    <n v="1"/>
    <n v="9000"/>
    <n v="9000"/>
    <n v="1707"/>
    <x v="1"/>
    <n v="6"/>
    <x v="1"/>
    <n v="2"/>
    <x v="0"/>
    <n v="0"/>
    <n v="1"/>
  </r>
  <r>
    <n v="754"/>
    <d v="2024-04-18T00:00:00"/>
    <x v="3"/>
    <x v="23"/>
    <n v="3"/>
    <n v="3000"/>
    <n v="9000"/>
    <n v="2399"/>
    <x v="1"/>
    <n v="3"/>
    <x v="0"/>
    <n v="7"/>
    <x v="1"/>
    <n v="0"/>
    <n v="0"/>
  </r>
  <r>
    <n v="214"/>
    <d v="2024-06-06T00:00:00"/>
    <x v="2"/>
    <x v="14"/>
    <n v="1"/>
    <n v="8000"/>
    <n v="8000"/>
    <n v="2385"/>
    <x v="0"/>
    <n v="6"/>
    <x v="0"/>
    <n v="3"/>
    <x v="1"/>
    <n v="1"/>
    <n v="0"/>
  </r>
  <r>
    <n v="276"/>
    <d v="2024-06-01T00:00:00"/>
    <x v="4"/>
    <x v="14"/>
    <n v="1"/>
    <n v="8000"/>
    <n v="8000"/>
    <n v="1910"/>
    <x v="1"/>
    <n v="6"/>
    <x v="0"/>
    <n v="2"/>
    <x v="0"/>
    <n v="0"/>
    <n v="0"/>
  </r>
  <r>
    <n v="302"/>
    <d v="2024-03-14T00:00:00"/>
    <x v="6"/>
    <x v="14"/>
    <n v="1"/>
    <n v="8000"/>
    <n v="8000"/>
    <n v="2292"/>
    <x v="1"/>
    <n v="7"/>
    <x v="1"/>
    <n v="2"/>
    <x v="0"/>
    <n v="0"/>
    <n v="1"/>
  </r>
  <r>
    <n v="191"/>
    <d v="2025-05-09T00:00:00"/>
    <x v="3"/>
    <x v="24"/>
    <n v="3"/>
    <n v="2500"/>
    <n v="7500"/>
    <n v="1187"/>
    <x v="0"/>
    <n v="6"/>
    <x v="1"/>
    <n v="2"/>
    <x v="0"/>
    <n v="1"/>
    <n v="1"/>
  </r>
  <r>
    <n v="538"/>
    <d v="2025-09-23T00:00:00"/>
    <x v="1"/>
    <x v="24"/>
    <n v="3"/>
    <n v="2500"/>
    <n v="7500"/>
    <n v="1452"/>
    <x v="1"/>
    <n v="6"/>
    <x v="1"/>
    <n v="4"/>
    <x v="0"/>
    <n v="0"/>
    <n v="1"/>
  </r>
  <r>
    <n v="772"/>
    <d v="2025-06-27T00:00:00"/>
    <x v="1"/>
    <x v="24"/>
    <n v="3"/>
    <n v="2500"/>
    <n v="7500"/>
    <n v="1902"/>
    <x v="1"/>
    <n v="5"/>
    <x v="1"/>
    <n v="3"/>
    <x v="0"/>
    <n v="0"/>
    <n v="1"/>
  </r>
  <r>
    <n v="131"/>
    <d v="2024-03-16T00:00:00"/>
    <x v="2"/>
    <x v="22"/>
    <n v="2"/>
    <n v="3500"/>
    <n v="7000"/>
    <n v="1121"/>
    <x v="1"/>
    <n v="7"/>
    <x v="1"/>
    <n v="2"/>
    <x v="0"/>
    <n v="0"/>
    <n v="1"/>
  </r>
  <r>
    <n v="304"/>
    <d v="2025-04-25T00:00:00"/>
    <x v="1"/>
    <x v="17"/>
    <n v="1"/>
    <n v="7000"/>
    <n v="7000"/>
    <n v="1331"/>
    <x v="1"/>
    <n v="1"/>
    <x v="0"/>
    <n v="10"/>
    <x v="1"/>
    <n v="0"/>
    <n v="0"/>
  </r>
  <r>
    <n v="384"/>
    <d v="2024-07-28T00:00:00"/>
    <x v="5"/>
    <x v="21"/>
    <n v="2"/>
    <n v="3500"/>
    <n v="7000"/>
    <n v="1742"/>
    <x v="0"/>
    <n v="2"/>
    <x v="0"/>
    <n v="6"/>
    <x v="1"/>
    <n v="1"/>
    <n v="0"/>
  </r>
  <r>
    <n v="511"/>
    <d v="2024-04-28T00:00:00"/>
    <x v="0"/>
    <x v="15"/>
    <n v="1"/>
    <n v="7000"/>
    <n v="7000"/>
    <n v="1617"/>
    <x v="1"/>
    <n v="5"/>
    <x v="0"/>
    <n v="6"/>
    <x v="0"/>
    <n v="0"/>
    <n v="0"/>
  </r>
  <r>
    <n v="588"/>
    <d v="2025-04-16T00:00:00"/>
    <x v="0"/>
    <x v="16"/>
    <n v="1"/>
    <n v="7000"/>
    <n v="7000"/>
    <n v="1471"/>
    <x v="0"/>
    <n v="5"/>
    <x v="0"/>
    <n v="4"/>
    <x v="0"/>
    <n v="1"/>
    <n v="0"/>
  </r>
  <r>
    <n v="624"/>
    <d v="2025-02-06T00:00:00"/>
    <x v="6"/>
    <x v="16"/>
    <n v="1"/>
    <n v="7000"/>
    <n v="7000"/>
    <n v="1824"/>
    <x v="1"/>
    <n v="3"/>
    <x v="0"/>
    <n v="8"/>
    <x v="0"/>
    <n v="0"/>
    <n v="0"/>
  </r>
  <r>
    <n v="642"/>
    <d v="2025-01-03T00:00:00"/>
    <x v="5"/>
    <x v="22"/>
    <n v="2"/>
    <n v="3500"/>
    <n v="7000"/>
    <n v="1641"/>
    <x v="0"/>
    <n v="2"/>
    <x v="0"/>
    <n v="6"/>
    <x v="0"/>
    <n v="1"/>
    <n v="0"/>
  </r>
  <r>
    <n v="668"/>
    <d v="2025-01-28T00:00:00"/>
    <x v="1"/>
    <x v="21"/>
    <n v="2"/>
    <n v="3500"/>
    <n v="7000"/>
    <n v="1929"/>
    <x v="1"/>
    <n v="7"/>
    <x v="1"/>
    <n v="3"/>
    <x v="0"/>
    <n v="0"/>
    <n v="1"/>
  </r>
  <r>
    <n v="727"/>
    <d v="2025-01-19T00:00:00"/>
    <x v="0"/>
    <x v="15"/>
    <n v="1"/>
    <n v="7000"/>
    <n v="7000"/>
    <n v="1942"/>
    <x v="1"/>
    <n v="2"/>
    <x v="0"/>
    <n v="8"/>
    <x v="0"/>
    <n v="0"/>
    <n v="0"/>
  </r>
  <r>
    <n v="747"/>
    <d v="2024-05-09T00:00:00"/>
    <x v="3"/>
    <x v="21"/>
    <n v="2"/>
    <n v="3500"/>
    <n v="7000"/>
    <n v="1440"/>
    <x v="1"/>
    <n v="6"/>
    <x v="0"/>
    <n v="5"/>
    <x v="0"/>
    <n v="0"/>
    <n v="0"/>
  </r>
  <r>
    <n v="854"/>
    <d v="2025-02-20T00:00:00"/>
    <x v="5"/>
    <x v="17"/>
    <n v="1"/>
    <n v="7000"/>
    <n v="7000"/>
    <n v="2081"/>
    <x v="0"/>
    <n v="4"/>
    <x v="0"/>
    <n v="6"/>
    <x v="0"/>
    <n v="1"/>
    <n v="0"/>
  </r>
  <r>
    <n v="900"/>
    <d v="2025-11-15T00:00:00"/>
    <x v="4"/>
    <x v="17"/>
    <n v="1"/>
    <n v="7000"/>
    <n v="7000"/>
    <n v="1929"/>
    <x v="1"/>
    <n v="6"/>
    <x v="0"/>
    <n v="3"/>
    <x v="0"/>
    <n v="0"/>
    <n v="0"/>
  </r>
  <r>
    <n v="944"/>
    <d v="2025-12-14T00:00:00"/>
    <x v="0"/>
    <x v="17"/>
    <n v="1"/>
    <n v="7000"/>
    <n v="7000"/>
    <n v="1052"/>
    <x v="0"/>
    <n v="1"/>
    <x v="0"/>
    <n v="7"/>
    <x v="0"/>
    <n v="1"/>
    <n v="0"/>
  </r>
  <r>
    <n v="84"/>
    <d v="2025-03-31T00:00:00"/>
    <x v="4"/>
    <x v="23"/>
    <n v="2"/>
    <n v="3000"/>
    <n v="6000"/>
    <n v="1791"/>
    <x v="0"/>
    <n v="5"/>
    <x v="1"/>
    <n v="5"/>
    <x v="0"/>
    <n v="1"/>
    <n v="1"/>
  </r>
  <r>
    <n v="119"/>
    <d v="2025-03-26T00:00:00"/>
    <x v="2"/>
    <x v="18"/>
    <n v="1"/>
    <n v="6000"/>
    <n v="6000"/>
    <n v="1285"/>
    <x v="1"/>
    <n v="5"/>
    <x v="0"/>
    <n v="3"/>
    <x v="0"/>
    <n v="0"/>
    <n v="0"/>
  </r>
  <r>
    <n v="169"/>
    <d v="2024-03-22T00:00:00"/>
    <x v="0"/>
    <x v="23"/>
    <n v="2"/>
    <n v="3000"/>
    <n v="6000"/>
    <n v="905"/>
    <x v="1"/>
    <n v="2"/>
    <x v="0"/>
    <n v="6"/>
    <x v="0"/>
    <n v="0"/>
    <n v="0"/>
  </r>
  <r>
    <n v="201"/>
    <d v="2025-07-12T00:00:00"/>
    <x v="5"/>
    <x v="18"/>
    <n v="1"/>
    <n v="6000"/>
    <n v="6000"/>
    <n v="1741"/>
    <x v="0"/>
    <n v="2"/>
    <x v="0"/>
    <n v="6"/>
    <x v="0"/>
    <n v="1"/>
    <n v="0"/>
  </r>
  <r>
    <n v="306"/>
    <d v="2024-10-29T00:00:00"/>
    <x v="1"/>
    <x v="18"/>
    <n v="1"/>
    <n v="6000"/>
    <n v="6000"/>
    <n v="1236"/>
    <x v="1"/>
    <n v="7"/>
    <x v="0"/>
    <n v="1"/>
    <x v="0"/>
    <n v="0"/>
    <n v="0"/>
  </r>
  <r>
    <n v="355"/>
    <d v="2025-12-01T00:00:00"/>
    <x v="4"/>
    <x v="23"/>
    <n v="2"/>
    <n v="3000"/>
    <n v="6000"/>
    <n v="1401"/>
    <x v="1"/>
    <n v="6"/>
    <x v="0"/>
    <n v="5"/>
    <x v="0"/>
    <n v="0"/>
    <n v="0"/>
  </r>
  <r>
    <n v="397"/>
    <d v="2024-02-10T00:00:00"/>
    <x v="2"/>
    <x v="18"/>
    <n v="1"/>
    <n v="6000"/>
    <n v="6000"/>
    <n v="1017"/>
    <x v="1"/>
    <n v="1"/>
    <x v="0"/>
    <n v="10"/>
    <x v="0"/>
    <n v="0"/>
    <n v="0"/>
  </r>
  <r>
    <n v="409"/>
    <d v="2024-11-04T00:00:00"/>
    <x v="6"/>
    <x v="18"/>
    <n v="1"/>
    <n v="6000"/>
    <n v="6000"/>
    <n v="1481"/>
    <x v="1"/>
    <n v="4"/>
    <x v="0"/>
    <n v="6"/>
    <x v="0"/>
    <n v="0"/>
    <n v="0"/>
  </r>
  <r>
    <n v="735"/>
    <d v="2025-07-22T00:00:00"/>
    <x v="1"/>
    <x v="23"/>
    <n v="2"/>
    <n v="3000"/>
    <n v="6000"/>
    <n v="1387"/>
    <x v="1"/>
    <n v="1"/>
    <x v="0"/>
    <n v="9"/>
    <x v="1"/>
    <n v="0"/>
    <n v="0"/>
  </r>
  <r>
    <n v="796"/>
    <d v="2025-05-16T00:00:00"/>
    <x v="2"/>
    <x v="18"/>
    <n v="1"/>
    <n v="6000"/>
    <n v="6000"/>
    <n v="1644"/>
    <x v="1"/>
    <n v="6"/>
    <x v="1"/>
    <n v="3"/>
    <x v="0"/>
    <n v="0"/>
    <n v="1"/>
  </r>
  <r>
    <n v="36"/>
    <d v="2024-08-01T00:00:00"/>
    <x v="4"/>
    <x v="19"/>
    <n v="1"/>
    <n v="5000"/>
    <n v="5000"/>
    <n v="979"/>
    <x v="1"/>
    <n v="2"/>
    <x v="0"/>
    <n v="9"/>
    <x v="0"/>
    <n v="0"/>
    <n v="0"/>
  </r>
  <r>
    <n v="147"/>
    <d v="2024-03-19T00:00:00"/>
    <x v="5"/>
    <x v="24"/>
    <n v="2"/>
    <n v="2500"/>
    <n v="5000"/>
    <n v="1487"/>
    <x v="1"/>
    <n v="6"/>
    <x v="1"/>
    <n v="3"/>
    <x v="0"/>
    <n v="0"/>
    <n v="1"/>
  </r>
  <r>
    <n v="160"/>
    <d v="2024-10-11T00:00:00"/>
    <x v="5"/>
    <x v="19"/>
    <n v="1"/>
    <n v="5000"/>
    <n v="5000"/>
    <n v="1012"/>
    <x v="1"/>
    <n v="1"/>
    <x v="0"/>
    <n v="8"/>
    <x v="1"/>
    <n v="0"/>
    <n v="0"/>
  </r>
  <r>
    <n v="175"/>
    <d v="2025-11-02T00:00:00"/>
    <x v="1"/>
    <x v="24"/>
    <n v="2"/>
    <n v="2500"/>
    <n v="5000"/>
    <n v="1264"/>
    <x v="1"/>
    <n v="2"/>
    <x v="0"/>
    <n v="9"/>
    <x v="0"/>
    <n v="0"/>
    <n v="0"/>
  </r>
  <r>
    <n v="205"/>
    <d v="2024-01-08T00:00:00"/>
    <x v="4"/>
    <x v="24"/>
    <n v="2"/>
    <n v="2500"/>
    <n v="5000"/>
    <n v="1350"/>
    <x v="0"/>
    <n v="7"/>
    <x v="1"/>
    <n v="2"/>
    <x v="0"/>
    <n v="1"/>
    <n v="1"/>
  </r>
  <r>
    <n v="298"/>
    <d v="2024-04-11T00:00:00"/>
    <x v="4"/>
    <x v="24"/>
    <n v="2"/>
    <n v="2500"/>
    <n v="5000"/>
    <n v="1000"/>
    <x v="1"/>
    <n v="1"/>
    <x v="0"/>
    <n v="8"/>
    <x v="0"/>
    <n v="0"/>
    <n v="0"/>
  </r>
  <r>
    <n v="653"/>
    <d v="2025-06-19T00:00:00"/>
    <x v="4"/>
    <x v="24"/>
    <n v="2"/>
    <n v="2500"/>
    <n v="5000"/>
    <n v="1083"/>
    <x v="0"/>
    <n v="3"/>
    <x v="0"/>
    <n v="8"/>
    <x v="0"/>
    <n v="1"/>
    <n v="0"/>
  </r>
  <r>
    <n v="836"/>
    <d v="2025-06-29T00:00:00"/>
    <x v="5"/>
    <x v="19"/>
    <n v="1"/>
    <n v="5000"/>
    <n v="5000"/>
    <n v="922"/>
    <x v="1"/>
    <n v="5"/>
    <x v="0"/>
    <n v="6"/>
    <x v="0"/>
    <n v="0"/>
    <n v="0"/>
  </r>
  <r>
    <n v="912"/>
    <d v="2024-05-11T00:00:00"/>
    <x v="0"/>
    <x v="24"/>
    <n v="2"/>
    <n v="2500"/>
    <n v="5000"/>
    <n v="1051"/>
    <x v="1"/>
    <n v="7"/>
    <x v="1"/>
    <n v="4"/>
    <x v="0"/>
    <n v="0"/>
    <n v="1"/>
  </r>
  <r>
    <n v="934"/>
    <d v="2024-06-13T00:00:00"/>
    <x v="3"/>
    <x v="19"/>
    <n v="1"/>
    <n v="5000"/>
    <n v="5000"/>
    <n v="1402"/>
    <x v="0"/>
    <n v="7"/>
    <x v="1"/>
    <n v="2"/>
    <x v="0"/>
    <n v="1"/>
    <n v="1"/>
  </r>
  <r>
    <n v="117"/>
    <d v="2025-03-11T00:00:00"/>
    <x v="6"/>
    <x v="20"/>
    <n v="1"/>
    <n v="4000"/>
    <n v="4000"/>
    <n v="1065"/>
    <x v="1"/>
    <n v="2"/>
    <x v="0"/>
    <n v="7"/>
    <x v="0"/>
    <n v="0"/>
    <n v="0"/>
  </r>
  <r>
    <n v="85"/>
    <d v="2025-10-12T00:00:00"/>
    <x v="0"/>
    <x v="21"/>
    <n v="1"/>
    <n v="3500"/>
    <n v="3500"/>
    <n v="1020"/>
    <x v="0"/>
    <n v="2"/>
    <x v="0"/>
    <n v="6"/>
    <x v="0"/>
    <n v="1"/>
    <n v="0"/>
  </r>
  <r>
    <n v="334"/>
    <d v="2024-09-23T00:00:00"/>
    <x v="1"/>
    <x v="22"/>
    <n v="1"/>
    <n v="3500"/>
    <n v="3500"/>
    <n v="875"/>
    <x v="0"/>
    <n v="2"/>
    <x v="0"/>
    <n v="6"/>
    <x v="0"/>
    <n v="1"/>
    <n v="0"/>
  </r>
  <r>
    <n v="575"/>
    <d v="2025-04-23T00:00:00"/>
    <x v="3"/>
    <x v="21"/>
    <n v="1"/>
    <n v="3500"/>
    <n v="3500"/>
    <n v="558"/>
    <x v="0"/>
    <n v="5"/>
    <x v="1"/>
    <n v="3"/>
    <x v="0"/>
    <n v="1"/>
    <n v="1"/>
  </r>
  <r>
    <n v="667"/>
    <d v="2025-05-24T00:00:00"/>
    <x v="3"/>
    <x v="22"/>
    <n v="1"/>
    <n v="3500"/>
    <n v="3500"/>
    <n v="685"/>
    <x v="1"/>
    <n v="1"/>
    <x v="0"/>
    <n v="8"/>
    <x v="1"/>
    <n v="0"/>
    <n v="0"/>
  </r>
  <r>
    <n v="988"/>
    <d v="2025-01-04T00:00:00"/>
    <x v="5"/>
    <x v="21"/>
    <n v="1"/>
    <n v="3500"/>
    <n v="3500"/>
    <n v="788"/>
    <x v="0"/>
    <n v="1"/>
    <x v="0"/>
    <n v="7"/>
    <x v="0"/>
    <n v="1"/>
    <n v="0"/>
  </r>
  <r>
    <n v="86"/>
    <d v="2024-04-01T00:00:00"/>
    <x v="6"/>
    <x v="23"/>
    <n v="1"/>
    <n v="3000"/>
    <n v="3000"/>
    <n v="728"/>
    <x v="1"/>
    <n v="4"/>
    <x v="1"/>
    <n v="4"/>
    <x v="0"/>
    <n v="0"/>
    <n v="1"/>
  </r>
  <r>
    <n v="710"/>
    <d v="2025-12-13T00:00:00"/>
    <x v="1"/>
    <x v="23"/>
    <n v="1"/>
    <n v="3000"/>
    <n v="3000"/>
    <n v="719"/>
    <x v="0"/>
    <n v="4"/>
    <x v="1"/>
    <n v="4"/>
    <x v="0"/>
    <n v="1"/>
    <n v="1"/>
  </r>
  <r>
    <n v="849"/>
    <d v="2025-04-04T00:00:00"/>
    <x v="2"/>
    <x v="23"/>
    <n v="1"/>
    <n v="3000"/>
    <n v="3000"/>
    <n v="775"/>
    <x v="1"/>
    <n v="7"/>
    <x v="1"/>
    <n v="4"/>
    <x v="0"/>
    <n v="0"/>
    <n v="1"/>
  </r>
  <r>
    <n v="152"/>
    <d v="2025-03-03T00:00:00"/>
    <x v="0"/>
    <x v="24"/>
    <n v="1"/>
    <n v="2500"/>
    <n v="2500"/>
    <n v="684"/>
    <x v="1"/>
    <n v="1"/>
    <x v="1"/>
    <n v="7"/>
    <x v="0"/>
    <n v="0"/>
    <n v="1"/>
  </r>
  <r>
    <n v="195"/>
    <d v="2025-03-03T00:00:00"/>
    <x v="0"/>
    <x v="24"/>
    <n v="1"/>
    <n v="2500"/>
    <n v="2500"/>
    <n v="646"/>
    <x v="0"/>
    <n v="3"/>
    <x v="0"/>
    <n v="5"/>
    <x v="0"/>
    <n v="1"/>
    <n v="0"/>
  </r>
  <r>
    <n v="220"/>
    <d v="2024-10-27T00:00:00"/>
    <x v="4"/>
    <x v="24"/>
    <n v="1"/>
    <n v="2500"/>
    <n v="2500"/>
    <n v="439"/>
    <x v="0"/>
    <n v="7"/>
    <x v="1"/>
    <n v="3"/>
    <x v="0"/>
    <n v="1"/>
    <n v="1"/>
  </r>
  <r>
    <n v="471"/>
    <d v="2025-11-30T00:00:00"/>
    <x v="0"/>
    <x v="24"/>
    <n v="1"/>
    <n v="2500"/>
    <n v="2500"/>
    <n v="552"/>
    <x v="1"/>
    <n v="1"/>
    <x v="0"/>
    <n v="8"/>
    <x v="0"/>
    <n v="0"/>
    <n v="0"/>
  </r>
  <r>
    <n v="565"/>
    <d v="2024-03-12T00:00:00"/>
    <x v="5"/>
    <x v="24"/>
    <n v="1"/>
    <n v="2500"/>
    <n v="2500"/>
    <n v="448"/>
    <x v="1"/>
    <n v="5"/>
    <x v="0"/>
    <n v="4"/>
    <x v="0"/>
    <n v="0"/>
    <n v="0"/>
  </r>
  <r>
    <n v="711"/>
    <d v="2024-06-22T00:00:00"/>
    <x v="6"/>
    <x v="24"/>
    <n v="1"/>
    <n v="2500"/>
    <n v="2500"/>
    <n v="549"/>
    <x v="1"/>
    <n v="4"/>
    <x v="0"/>
    <n v="5"/>
    <x v="0"/>
    <n v="0"/>
    <n v="0"/>
  </r>
  <r>
    <n v="775"/>
    <d v="2024-02-11T00:00:00"/>
    <x v="4"/>
    <x v="24"/>
    <n v="1"/>
    <n v="2500"/>
    <n v="2500"/>
    <n v="547"/>
    <x v="1"/>
    <n v="3"/>
    <x v="1"/>
    <n v="7"/>
    <x v="0"/>
    <n v="0"/>
    <n v="1"/>
  </r>
  <r>
    <n v="856"/>
    <d v="2025-01-26T00:00:00"/>
    <x v="2"/>
    <x v="24"/>
    <n v="1"/>
    <n v="2500"/>
    <n v="2500"/>
    <n v="477"/>
    <x v="0"/>
    <n v="3"/>
    <x v="0"/>
    <n v="7"/>
    <x v="0"/>
    <n v="1"/>
    <n v="0"/>
  </r>
  <r>
    <n v="927"/>
    <d v="2025-10-07T00:00:00"/>
    <x v="0"/>
    <x v="24"/>
    <n v="1"/>
    <n v="2500"/>
    <n v="2500"/>
    <n v="534"/>
    <x v="1"/>
    <n v="2"/>
    <x v="0"/>
    <n v="7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909F9-0D9E-4DF7-B404-8B1FBE48FE2B}" name="Kontingenční tabulka2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">
  <location ref="O24:P50" firstHeaderRow="1" firstDataRow="1" firstDataCol="1"/>
  <pivotFields count="15">
    <pivotField showAll="0"/>
    <pivotField numFmtId="164" showAll="0"/>
    <pivotField showAll="0"/>
    <pivotField axis="axisRow" showAll="0">
      <items count="26">
        <item x="8"/>
        <item x="10"/>
        <item x="9"/>
        <item x="19"/>
        <item x="15"/>
        <item x="14"/>
        <item x="7"/>
        <item x="0"/>
        <item x="4"/>
        <item x="23"/>
        <item x="21"/>
        <item x="2"/>
        <item x="12"/>
        <item x="6"/>
        <item x="18"/>
        <item x="1"/>
        <item x="3"/>
        <item x="20"/>
        <item x="16"/>
        <item x="11"/>
        <item x="13"/>
        <item x="5"/>
        <item x="24"/>
        <item x="17"/>
        <item x="2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oučet z Celkovy_prodej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BFAEC-242F-406F-9565-CA27A8A93CAD}" name="Kontingenční tabulka1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7">
  <location ref="B3:C11" firstHeaderRow="1" firstDataRow="1" firstDataCol="1"/>
  <pivotFields count="15">
    <pivotField showAll="0"/>
    <pivotField numFmtId="164" showAll="0"/>
    <pivotField axis="axisRow" showAll="0">
      <items count="8">
        <item x="2"/>
        <item x="6"/>
        <item x="3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učet z Celkovy_prodej" fld="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C9176-F288-4653-87BD-7BD220DF2B2C}" name="Kontingenční tabulka4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">
  <location ref="B31:D39" firstHeaderRow="0" firstDataRow="1" firstDataCol="1"/>
  <pivotFields count="15">
    <pivotField showAll="0"/>
    <pivotField numFmtId="164" showAll="0"/>
    <pivotField axis="axisRow" showAll="0">
      <items count="8">
        <item x="2"/>
        <item x="6"/>
        <item x="3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Počet z Reklamace" fld="10" subtotal="count" baseField="0" baseItem="0"/>
    <dataField name="Součet z dummy_reklamace" fld="1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4F450-1D86-48D2-B877-B713D4757BBE}" name="Kontingenční tabulka3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">
  <location ref="H17:I20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učet z Celkovy_prodej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24DBF-2A47-416E-B296-69782C667823}" name="Kontingenční tabulka5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">
  <location ref="B19:C22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Průměr z Spokojenost" fld="11" subtotal="average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2BA78-D65F-4ECF-A885-DAD62FC293E3}" name="Kontingenční tabulka7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14:C22" firstHeaderRow="0" firstDataRow="1" firstDataCol="1"/>
  <pivotFields count="15">
    <pivotField showAll="0"/>
    <pivotField numFmtId="164" showAll="0"/>
    <pivotField axis="axisRow" showAll="0">
      <items count="8">
        <item x="2"/>
        <item x="6"/>
        <item x="3"/>
        <item x="4"/>
        <item x="5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Počet z Pocet_kusu" fld="4" subtotal="count" baseField="2" baseItem="0"/>
    <dataField name="Součet z dummy_reklamac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6860E-03BF-4A73-8214-D1A9F13FEC63}" name="Kontingenční tabulka6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1:AA10" firstHeaderRow="1" firstDataRow="2" firstDataCol="1"/>
  <pivotFields count="15">
    <pivotField showAll="0"/>
    <pivotField numFmtId="164" showAll="0"/>
    <pivotField axis="axisRow" showAll="0">
      <items count="8">
        <item x="2"/>
        <item x="6"/>
        <item x="3"/>
        <item x="4"/>
        <item x="5"/>
        <item x="1"/>
        <item x="0"/>
        <item t="default"/>
      </items>
    </pivotField>
    <pivotField axis="axisCol" showAll="0">
      <items count="26">
        <item x="8"/>
        <item x="10"/>
        <item x="9"/>
        <item x="19"/>
        <item x="15"/>
        <item x="14"/>
        <item x="7"/>
        <item x="0"/>
        <item x="4"/>
        <item x="23"/>
        <item x="21"/>
        <item x="2"/>
        <item x="12"/>
        <item x="6"/>
        <item x="18"/>
        <item x="1"/>
        <item x="3"/>
        <item x="20"/>
        <item x="16"/>
        <item x="11"/>
        <item x="13"/>
        <item x="5"/>
        <item x="24"/>
        <item x="17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Počet z Cena_za_kus" fld="5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E2721-7FBC-4C9D-B29D-D263FF4AE6C5}" name="Kontingenční tabulka9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D18:E21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Průměr z Spokojenost" fld="11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391AC-6173-47B7-9367-386DBCE7703A}" name="Kontingenční tabulka8" cacheId="3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H9:I12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Průměr z Spokojenost" fld="11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16D27-879F-42B8-870F-008DFECF9856}" name="Tabulka1" displayName="Tabulka1" ref="A1:O1001" totalsRowShown="0" headerRowDxfId="18" dataDxfId="17" headerRowBorderDxfId="15" tableBorderDxfId="16">
  <autoFilter ref="A1:O1001" xr:uid="{B6B16D27-879F-42B8-870F-008DFECF9856}"/>
  <sortState xmlns:xlrd2="http://schemas.microsoft.com/office/spreadsheetml/2017/richdata2" ref="A2:M1001">
    <sortCondition descending="1" ref="G1:G1001"/>
  </sortState>
  <tableColumns count="15">
    <tableColumn id="1" xr3:uid="{9CBA4E0F-C015-4328-B57C-6EA128A711E4}" name="ID" dataDxfId="14"/>
    <tableColumn id="2" xr3:uid="{7EF877DB-E007-4140-9ED1-D699CE41D1F4}" name="Datum" dataDxfId="13"/>
    <tableColumn id="3" xr3:uid="{4E14C145-A5B1-4EEF-A7AD-B42F527D9CC6}" name="Prodejna" dataDxfId="12"/>
    <tableColumn id="4" xr3:uid="{954BDE1B-6E4B-49B5-90C3-636B8D8475F1}" name="Produkt" dataDxfId="11"/>
    <tableColumn id="5" xr3:uid="{7A643553-8C2F-4897-B72F-CA4B009AEB00}" name="Pocet_kusu" dataDxfId="10"/>
    <tableColumn id="6" xr3:uid="{53F376FE-5856-4245-822A-DDD49DF846BD}" name="Cena_za_kus" dataDxfId="9"/>
    <tableColumn id="7" xr3:uid="{B4AB91BE-8804-4FFE-9DFF-27C45833BE78}" name="Celkovy_prodej" dataDxfId="8"/>
    <tableColumn id="8" xr3:uid="{E1AC41FE-60BE-4D17-B9D9-20C451A14D4E}" name="Zisk" dataDxfId="7"/>
    <tableColumn id="9" xr3:uid="{037ACA0F-B999-44EF-9407-9A5FE3AD465E}" name="E-shop" dataDxfId="6"/>
    <tableColumn id="10" xr3:uid="{250288EC-F483-4478-A440-F864E557288D}" name="Doba_dodani" dataDxfId="5"/>
    <tableColumn id="11" xr3:uid="{F9383EBC-FF91-4653-9A71-A3A82BC0D771}" name="Reklamace" dataDxfId="4"/>
    <tableColumn id="12" xr3:uid="{52187E4C-2F99-40D7-BA30-BC6816238F61}" name="Spokojenost" dataDxfId="3"/>
    <tableColumn id="13" xr3:uid="{2AC835CC-D0FB-4F1D-8947-BEA9F9CE21E2}" name="Typ_zakaznika" dataDxfId="2"/>
    <tableColumn id="14" xr3:uid="{51BA76D1-88E8-4544-A3DA-B79C00FC686A}" name="dummy_eshop" dataDxfId="1">
      <calculatedColumnFormula>IF(Tabulka1[[#This Row],[E-shop]]="ano",1,0)</calculatedColumnFormula>
    </tableColumn>
    <tableColumn id="15" xr3:uid="{B7C5D171-65A3-47FF-9CE0-EE0D0E57B8DC}" name="dummy_reklamace" dataDxfId="0">
      <calculatedColumnFormula>IF(Tabulka1[[#This Row],[Reklamace]]="ano",1,0)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Normal="100" workbookViewId="0">
      <selection activeCell="K4" sqref="K4"/>
    </sheetView>
  </sheetViews>
  <sheetFormatPr defaultColWidth="14.44140625" defaultRowHeight="15" customHeight="1" x14ac:dyDescent="0.3"/>
  <cols>
    <col min="1" max="1" width="5.109375" bestFit="1" customWidth="1"/>
    <col min="2" max="2" width="19.44140625" bestFit="1" customWidth="1"/>
    <col min="3" max="3" width="13.44140625" bestFit="1" customWidth="1"/>
    <col min="4" max="4" width="20.109375" bestFit="1" customWidth="1"/>
    <col min="5" max="5" width="15.21875" bestFit="1" customWidth="1"/>
    <col min="6" max="6" width="12.5546875" customWidth="1"/>
    <col min="7" max="7" width="14.88671875" customWidth="1"/>
    <col min="8" max="8" width="7.21875" bestFit="1" customWidth="1"/>
    <col min="9" max="9" width="20.44140625" customWidth="1"/>
    <col min="10" max="10" width="12.88671875" customWidth="1"/>
    <col min="11" max="11" width="11.109375" customWidth="1"/>
    <col min="12" max="12" width="24.21875" customWidth="1"/>
    <col min="13" max="13" width="13.77734375" customWidth="1"/>
    <col min="14" max="14" width="18.21875" bestFit="1" customWidth="1"/>
    <col min="15" max="15" width="21.88671875" bestFit="1" customWidth="1"/>
    <col min="16" max="26" width="8.6640625" customWidth="1"/>
  </cols>
  <sheetData>
    <row r="1" spans="1:15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69</v>
      </c>
      <c r="O1" s="3" t="s">
        <v>70</v>
      </c>
    </row>
    <row r="2" spans="1:15" ht="14.4" x14ac:dyDescent="0.3">
      <c r="A2" s="1">
        <v>230</v>
      </c>
      <c r="B2" s="2">
        <v>45403</v>
      </c>
      <c r="C2" s="1" t="s">
        <v>21</v>
      </c>
      <c r="D2" s="1" t="s">
        <v>47</v>
      </c>
      <c r="E2" s="1">
        <v>14</v>
      </c>
      <c r="F2" s="1">
        <v>25000</v>
      </c>
      <c r="G2" s="1">
        <v>350000</v>
      </c>
      <c r="H2" s="1">
        <v>103979</v>
      </c>
      <c r="I2" s="1" t="s">
        <v>16</v>
      </c>
      <c r="J2" s="1">
        <v>5</v>
      </c>
      <c r="K2" s="1" t="s">
        <v>15</v>
      </c>
      <c r="L2" s="1">
        <v>3</v>
      </c>
      <c r="M2" s="1" t="s">
        <v>20</v>
      </c>
      <c r="N2" s="5">
        <f>IF(Tabulka1[[#This Row],[E-shop]]="ano",1,0)</f>
        <v>1</v>
      </c>
      <c r="O2" s="5">
        <f>IF(Tabulka1[[#This Row],[Reklamace]]="ano",1,0)</f>
        <v>0</v>
      </c>
    </row>
    <row r="3" spans="1:15" ht="14.4" x14ac:dyDescent="0.3">
      <c r="A3" s="1">
        <v>345</v>
      </c>
      <c r="B3" s="2">
        <v>45469</v>
      </c>
      <c r="C3" s="1" t="s">
        <v>25</v>
      </c>
      <c r="D3" s="1" t="s">
        <v>47</v>
      </c>
      <c r="E3" s="1">
        <v>14</v>
      </c>
      <c r="F3" s="1">
        <v>25000</v>
      </c>
      <c r="G3" s="1">
        <v>350000</v>
      </c>
      <c r="H3" s="1">
        <v>85573</v>
      </c>
      <c r="I3" s="1" t="s">
        <v>15</v>
      </c>
      <c r="J3" s="1">
        <v>8</v>
      </c>
      <c r="K3" s="1" t="s">
        <v>16</v>
      </c>
      <c r="L3" s="1">
        <v>1</v>
      </c>
      <c r="M3" s="1" t="s">
        <v>20</v>
      </c>
      <c r="N3" s="5">
        <f>IF(Tabulka1[[#This Row],[E-shop]]="ano",1,0)</f>
        <v>0</v>
      </c>
      <c r="O3" s="5">
        <f>IF(Tabulka1[[#This Row],[Reklamace]]="ano",1,0)</f>
        <v>1</v>
      </c>
    </row>
    <row r="4" spans="1:15" ht="14.4" x14ac:dyDescent="0.3">
      <c r="A4" s="1">
        <v>483</v>
      </c>
      <c r="B4" s="2">
        <v>45677</v>
      </c>
      <c r="C4" s="1" t="s">
        <v>18</v>
      </c>
      <c r="D4" s="1" t="s">
        <v>47</v>
      </c>
      <c r="E4" s="1">
        <v>14</v>
      </c>
      <c r="F4" s="1">
        <v>25000</v>
      </c>
      <c r="G4" s="1">
        <v>350000</v>
      </c>
      <c r="H4" s="1">
        <v>69599</v>
      </c>
      <c r="I4" s="1" t="s">
        <v>15</v>
      </c>
      <c r="J4" s="1">
        <v>8</v>
      </c>
      <c r="K4" s="1" t="s">
        <v>16</v>
      </c>
      <c r="L4" s="1">
        <v>2</v>
      </c>
      <c r="M4" s="1" t="s">
        <v>20</v>
      </c>
      <c r="N4" s="5">
        <f>IF(Tabulka1[[#This Row],[E-shop]]="ano",1,0)</f>
        <v>0</v>
      </c>
      <c r="O4" s="5">
        <f>IF(Tabulka1[[#This Row],[Reklamace]]="ano",1,0)</f>
        <v>1</v>
      </c>
    </row>
    <row r="5" spans="1:15" ht="14.4" x14ac:dyDescent="0.3">
      <c r="A5" s="1">
        <v>831</v>
      </c>
      <c r="B5" s="2">
        <v>45299</v>
      </c>
      <c r="C5" s="1" t="s">
        <v>25</v>
      </c>
      <c r="D5" s="1" t="s">
        <v>47</v>
      </c>
      <c r="E5" s="1">
        <v>14</v>
      </c>
      <c r="F5" s="1">
        <v>25000</v>
      </c>
      <c r="G5" s="1">
        <v>350000</v>
      </c>
      <c r="H5" s="1">
        <v>64268</v>
      </c>
      <c r="I5" s="1" t="s">
        <v>16</v>
      </c>
      <c r="J5" s="1">
        <v>7</v>
      </c>
      <c r="K5" s="1" t="s">
        <v>16</v>
      </c>
      <c r="L5" s="1">
        <v>1</v>
      </c>
      <c r="M5" s="1" t="s">
        <v>20</v>
      </c>
      <c r="N5" s="5">
        <f>IF(Tabulka1[[#This Row],[E-shop]]="ano",1,0)</f>
        <v>1</v>
      </c>
      <c r="O5" s="5">
        <f>IF(Tabulka1[[#This Row],[Reklamace]]="ano",1,0)</f>
        <v>1</v>
      </c>
    </row>
    <row r="6" spans="1:15" ht="14.4" x14ac:dyDescent="0.3">
      <c r="A6" s="1">
        <v>200</v>
      </c>
      <c r="B6" s="2">
        <v>45744</v>
      </c>
      <c r="C6" s="1" t="s">
        <v>21</v>
      </c>
      <c r="D6" s="1" t="s">
        <v>47</v>
      </c>
      <c r="E6" s="1">
        <v>13</v>
      </c>
      <c r="F6" s="1">
        <v>25000</v>
      </c>
      <c r="G6" s="1">
        <v>325000</v>
      </c>
      <c r="H6" s="1">
        <v>60718</v>
      </c>
      <c r="I6" s="1" t="s">
        <v>15</v>
      </c>
      <c r="J6" s="1">
        <v>5</v>
      </c>
      <c r="K6" s="1" t="s">
        <v>16</v>
      </c>
      <c r="L6" s="1">
        <v>4</v>
      </c>
      <c r="M6" s="1" t="s">
        <v>20</v>
      </c>
      <c r="N6" s="5">
        <f>IF(Tabulka1[[#This Row],[E-shop]]="ano",1,0)</f>
        <v>0</v>
      </c>
      <c r="O6" s="5">
        <f>IF(Tabulka1[[#This Row],[Reklamace]]="ano",1,0)</f>
        <v>1</v>
      </c>
    </row>
    <row r="7" spans="1:15" ht="14.4" x14ac:dyDescent="0.3">
      <c r="A7" s="1">
        <v>352</v>
      </c>
      <c r="B7" s="2">
        <v>45667</v>
      </c>
      <c r="C7" s="1" t="s">
        <v>36</v>
      </c>
      <c r="D7" s="1" t="s">
        <v>47</v>
      </c>
      <c r="E7" s="1">
        <v>13</v>
      </c>
      <c r="F7" s="1">
        <v>25000</v>
      </c>
      <c r="G7" s="1">
        <v>325000</v>
      </c>
      <c r="H7" s="1">
        <v>71622</v>
      </c>
      <c r="I7" s="1" t="s">
        <v>15</v>
      </c>
      <c r="J7" s="1">
        <v>8</v>
      </c>
      <c r="K7" s="1" t="s">
        <v>15</v>
      </c>
      <c r="L7" s="1">
        <v>1</v>
      </c>
      <c r="M7" s="1" t="s">
        <v>17</v>
      </c>
      <c r="N7" s="5">
        <f>IF(Tabulka1[[#This Row],[E-shop]]="ano",1,0)</f>
        <v>0</v>
      </c>
      <c r="O7" s="5">
        <f>IF(Tabulka1[[#This Row],[Reklamace]]="ano",1,0)</f>
        <v>0</v>
      </c>
    </row>
    <row r="8" spans="1:15" ht="14.4" x14ac:dyDescent="0.3">
      <c r="A8" s="1">
        <v>960</v>
      </c>
      <c r="B8" s="2">
        <v>45455</v>
      </c>
      <c r="C8" s="1" t="s">
        <v>18</v>
      </c>
      <c r="D8" s="1" t="s">
        <v>47</v>
      </c>
      <c r="E8" s="1">
        <v>13</v>
      </c>
      <c r="F8" s="1">
        <v>25000</v>
      </c>
      <c r="G8" s="1">
        <v>325000</v>
      </c>
      <c r="H8" s="1">
        <v>77522</v>
      </c>
      <c r="I8" s="1" t="s">
        <v>16</v>
      </c>
      <c r="J8" s="1">
        <v>6</v>
      </c>
      <c r="K8" s="1" t="s">
        <v>15</v>
      </c>
      <c r="L8" s="1">
        <v>5</v>
      </c>
      <c r="M8" s="1" t="s">
        <v>20</v>
      </c>
      <c r="N8" s="5">
        <f>IF(Tabulka1[[#This Row],[E-shop]]="ano",1,0)</f>
        <v>1</v>
      </c>
      <c r="O8" s="5">
        <f>IF(Tabulka1[[#This Row],[Reklamace]]="ano",1,0)</f>
        <v>0</v>
      </c>
    </row>
    <row r="9" spans="1:15" ht="14.4" x14ac:dyDescent="0.3">
      <c r="A9" s="1">
        <v>142</v>
      </c>
      <c r="B9" s="2">
        <v>45455</v>
      </c>
      <c r="C9" s="1" t="s">
        <v>23</v>
      </c>
      <c r="D9" s="1" t="s">
        <v>48</v>
      </c>
      <c r="E9" s="1">
        <v>14</v>
      </c>
      <c r="F9" s="1">
        <v>22000</v>
      </c>
      <c r="G9" s="1">
        <v>308000</v>
      </c>
      <c r="H9" s="1">
        <v>71706</v>
      </c>
      <c r="I9" s="1" t="s">
        <v>15</v>
      </c>
      <c r="J9" s="1">
        <v>9</v>
      </c>
      <c r="K9" s="1" t="s">
        <v>16</v>
      </c>
      <c r="L9" s="1">
        <v>1</v>
      </c>
      <c r="M9" s="1" t="s">
        <v>20</v>
      </c>
      <c r="N9" s="5">
        <f>IF(Tabulka1[[#This Row],[E-shop]]="ano",1,0)</f>
        <v>0</v>
      </c>
      <c r="O9" s="5">
        <f>IF(Tabulka1[[#This Row],[Reklamace]]="ano",1,0)</f>
        <v>1</v>
      </c>
    </row>
    <row r="10" spans="1:15" ht="14.4" x14ac:dyDescent="0.3">
      <c r="A10" s="1">
        <v>567</v>
      </c>
      <c r="B10" s="2">
        <v>45431</v>
      </c>
      <c r="C10" s="1" t="s">
        <v>23</v>
      </c>
      <c r="D10" s="1" t="s">
        <v>48</v>
      </c>
      <c r="E10" s="1">
        <v>14</v>
      </c>
      <c r="F10" s="1">
        <v>22000</v>
      </c>
      <c r="G10" s="1">
        <v>308000</v>
      </c>
      <c r="H10" s="1">
        <v>74541</v>
      </c>
      <c r="I10" s="1" t="s">
        <v>15</v>
      </c>
      <c r="J10" s="1">
        <v>8</v>
      </c>
      <c r="K10" s="1" t="s">
        <v>16</v>
      </c>
      <c r="L10" s="1">
        <v>1</v>
      </c>
      <c r="M10" s="1" t="s">
        <v>20</v>
      </c>
      <c r="N10" s="5">
        <f>IF(Tabulka1[[#This Row],[E-shop]]="ano",1,0)</f>
        <v>0</v>
      </c>
      <c r="O10" s="5">
        <f>IF(Tabulka1[[#This Row],[Reklamace]]="ano",1,0)</f>
        <v>1</v>
      </c>
    </row>
    <row r="11" spans="1:15" ht="14.4" x14ac:dyDescent="0.3">
      <c r="A11" s="1">
        <v>876</v>
      </c>
      <c r="B11" s="2">
        <v>45588</v>
      </c>
      <c r="C11" s="1" t="s">
        <v>13</v>
      </c>
      <c r="D11" s="1" t="s">
        <v>48</v>
      </c>
      <c r="E11" s="1">
        <v>14</v>
      </c>
      <c r="F11" s="1">
        <v>22000</v>
      </c>
      <c r="G11" s="1">
        <v>308000</v>
      </c>
      <c r="H11" s="1">
        <v>60100</v>
      </c>
      <c r="I11" s="1" t="s">
        <v>15</v>
      </c>
      <c r="J11" s="1">
        <v>5</v>
      </c>
      <c r="K11" s="1" t="s">
        <v>16</v>
      </c>
      <c r="L11" s="1">
        <v>3</v>
      </c>
      <c r="M11" s="1" t="s">
        <v>17</v>
      </c>
      <c r="N11" s="5">
        <f>IF(Tabulka1[[#This Row],[E-shop]]="ano",1,0)</f>
        <v>0</v>
      </c>
      <c r="O11" s="5">
        <f>IF(Tabulka1[[#This Row],[Reklamace]]="ano",1,0)</f>
        <v>1</v>
      </c>
    </row>
    <row r="12" spans="1:15" ht="14.4" x14ac:dyDescent="0.3">
      <c r="A12" s="1">
        <v>903</v>
      </c>
      <c r="B12" s="2">
        <v>45474</v>
      </c>
      <c r="C12" s="1" t="s">
        <v>23</v>
      </c>
      <c r="D12" s="1" t="s">
        <v>48</v>
      </c>
      <c r="E12" s="1">
        <v>14</v>
      </c>
      <c r="F12" s="1">
        <v>22000</v>
      </c>
      <c r="G12" s="1">
        <v>308000</v>
      </c>
      <c r="H12" s="1">
        <v>53665</v>
      </c>
      <c r="I12" s="1" t="s">
        <v>16</v>
      </c>
      <c r="J12" s="1">
        <v>4</v>
      </c>
      <c r="K12" s="1" t="s">
        <v>16</v>
      </c>
      <c r="L12" s="1">
        <v>7</v>
      </c>
      <c r="M12" s="1" t="s">
        <v>17</v>
      </c>
      <c r="N12" s="5">
        <f>IF(Tabulka1[[#This Row],[E-shop]]="ano",1,0)</f>
        <v>1</v>
      </c>
      <c r="O12" s="5">
        <f>IF(Tabulka1[[#This Row],[Reklamace]]="ano",1,0)</f>
        <v>1</v>
      </c>
    </row>
    <row r="13" spans="1:15" ht="14.4" x14ac:dyDescent="0.3">
      <c r="A13" s="1">
        <v>110</v>
      </c>
      <c r="B13" s="2">
        <v>45708</v>
      </c>
      <c r="C13" s="1" t="s">
        <v>23</v>
      </c>
      <c r="D13" s="1" t="s">
        <v>47</v>
      </c>
      <c r="E13" s="1">
        <v>12</v>
      </c>
      <c r="F13" s="1">
        <v>25000</v>
      </c>
      <c r="G13" s="1">
        <v>300000</v>
      </c>
      <c r="H13" s="1">
        <v>58032</v>
      </c>
      <c r="I13" s="1" t="s">
        <v>16</v>
      </c>
      <c r="J13" s="1">
        <v>5</v>
      </c>
      <c r="K13" s="1" t="s">
        <v>15</v>
      </c>
      <c r="L13" s="1">
        <v>5</v>
      </c>
      <c r="M13" s="1" t="s">
        <v>20</v>
      </c>
      <c r="N13" s="5">
        <f>IF(Tabulka1[[#This Row],[E-shop]]="ano",1,0)</f>
        <v>1</v>
      </c>
      <c r="O13" s="5">
        <f>IF(Tabulka1[[#This Row],[Reklamace]]="ano",1,0)</f>
        <v>0</v>
      </c>
    </row>
    <row r="14" spans="1:15" ht="14.4" x14ac:dyDescent="0.3">
      <c r="A14" s="1">
        <v>637</v>
      </c>
      <c r="B14" s="2">
        <v>45307</v>
      </c>
      <c r="C14" s="1" t="s">
        <v>25</v>
      </c>
      <c r="D14" s="1" t="s">
        <v>47</v>
      </c>
      <c r="E14" s="1">
        <v>12</v>
      </c>
      <c r="F14" s="1">
        <v>25000</v>
      </c>
      <c r="G14" s="1">
        <v>300000</v>
      </c>
      <c r="H14" s="1">
        <v>89396</v>
      </c>
      <c r="I14" s="1" t="s">
        <v>15</v>
      </c>
      <c r="J14" s="1">
        <v>6</v>
      </c>
      <c r="K14" s="1" t="s">
        <v>16</v>
      </c>
      <c r="L14" s="1">
        <v>3</v>
      </c>
      <c r="M14" s="1" t="s">
        <v>20</v>
      </c>
      <c r="N14" s="5">
        <f>IF(Tabulka1[[#This Row],[E-shop]]="ano",1,0)</f>
        <v>0</v>
      </c>
      <c r="O14" s="5">
        <f>IF(Tabulka1[[#This Row],[Reklamace]]="ano",1,0)</f>
        <v>1</v>
      </c>
    </row>
    <row r="15" spans="1:15" ht="14.4" x14ac:dyDescent="0.3">
      <c r="A15" s="1">
        <v>694</v>
      </c>
      <c r="B15" s="2">
        <v>45794</v>
      </c>
      <c r="C15" s="1" t="s">
        <v>31</v>
      </c>
      <c r="D15" s="1" t="s">
        <v>47</v>
      </c>
      <c r="E15" s="1">
        <v>12</v>
      </c>
      <c r="F15" s="1">
        <v>25000</v>
      </c>
      <c r="G15" s="1">
        <v>300000</v>
      </c>
      <c r="H15" s="1">
        <v>66443</v>
      </c>
      <c r="I15" s="1" t="s">
        <v>15</v>
      </c>
      <c r="J15" s="1">
        <v>4</v>
      </c>
      <c r="K15" s="1" t="s">
        <v>15</v>
      </c>
      <c r="L15" s="1">
        <v>6</v>
      </c>
      <c r="M15" s="1" t="s">
        <v>20</v>
      </c>
      <c r="N15" s="5">
        <f>IF(Tabulka1[[#This Row],[E-shop]]="ano",1,0)</f>
        <v>0</v>
      </c>
      <c r="O15" s="5">
        <f>IF(Tabulka1[[#This Row],[Reklamace]]="ano",1,0)</f>
        <v>0</v>
      </c>
    </row>
    <row r="16" spans="1:15" ht="14.4" x14ac:dyDescent="0.3">
      <c r="A16" s="1">
        <v>918</v>
      </c>
      <c r="B16" s="2">
        <v>45959</v>
      </c>
      <c r="C16" s="1" t="s">
        <v>13</v>
      </c>
      <c r="D16" s="1" t="s">
        <v>47</v>
      </c>
      <c r="E16" s="1">
        <v>12</v>
      </c>
      <c r="F16" s="1">
        <v>25000</v>
      </c>
      <c r="G16" s="1">
        <v>300000</v>
      </c>
      <c r="H16" s="1">
        <v>81293</v>
      </c>
      <c r="I16" s="1" t="s">
        <v>15</v>
      </c>
      <c r="J16" s="1">
        <v>7</v>
      </c>
      <c r="K16" s="1" t="s">
        <v>16</v>
      </c>
      <c r="L16" s="1">
        <v>4</v>
      </c>
      <c r="M16" s="1" t="s">
        <v>20</v>
      </c>
      <c r="N16" s="5">
        <f>IF(Tabulka1[[#This Row],[E-shop]]="ano",1,0)</f>
        <v>0</v>
      </c>
      <c r="O16" s="5">
        <f>IF(Tabulka1[[#This Row],[Reklamace]]="ano",1,0)</f>
        <v>1</v>
      </c>
    </row>
    <row r="17" spans="1:15" ht="14.4" x14ac:dyDescent="0.3">
      <c r="A17" s="1">
        <v>974</v>
      </c>
      <c r="B17" s="2">
        <v>45729</v>
      </c>
      <c r="C17" s="1" t="s">
        <v>21</v>
      </c>
      <c r="D17" s="1" t="s">
        <v>47</v>
      </c>
      <c r="E17" s="1">
        <v>12</v>
      </c>
      <c r="F17" s="1">
        <v>25000</v>
      </c>
      <c r="G17" s="1">
        <v>300000</v>
      </c>
      <c r="H17" s="1">
        <v>83064</v>
      </c>
      <c r="I17" s="1" t="s">
        <v>16</v>
      </c>
      <c r="J17" s="1">
        <v>6</v>
      </c>
      <c r="K17" s="1" t="s">
        <v>16</v>
      </c>
      <c r="L17" s="1">
        <v>2</v>
      </c>
      <c r="M17" s="1" t="s">
        <v>17</v>
      </c>
      <c r="N17" s="5">
        <f>IF(Tabulka1[[#This Row],[E-shop]]="ano",1,0)</f>
        <v>1</v>
      </c>
      <c r="O17" s="5">
        <f>IF(Tabulka1[[#This Row],[Reklamace]]="ano",1,0)</f>
        <v>1</v>
      </c>
    </row>
    <row r="18" spans="1:15" ht="14.4" x14ac:dyDescent="0.3">
      <c r="A18" s="1">
        <v>251</v>
      </c>
      <c r="B18" s="2">
        <v>45753</v>
      </c>
      <c r="C18" s="1" t="s">
        <v>31</v>
      </c>
      <c r="D18" s="1" t="s">
        <v>48</v>
      </c>
      <c r="E18" s="1">
        <v>13</v>
      </c>
      <c r="F18" s="1">
        <v>22000</v>
      </c>
      <c r="G18" s="1">
        <v>286000</v>
      </c>
      <c r="H18" s="1">
        <v>59647</v>
      </c>
      <c r="I18" s="1" t="s">
        <v>15</v>
      </c>
      <c r="J18" s="1">
        <v>9</v>
      </c>
      <c r="K18" s="1" t="s">
        <v>16</v>
      </c>
      <c r="L18" s="1">
        <v>1</v>
      </c>
      <c r="M18" s="1" t="s">
        <v>20</v>
      </c>
      <c r="N18" s="5">
        <f>IF(Tabulka1[[#This Row],[E-shop]]="ano",1,0)</f>
        <v>0</v>
      </c>
      <c r="O18" s="5">
        <f>IF(Tabulka1[[#This Row],[Reklamace]]="ano",1,0)</f>
        <v>1</v>
      </c>
    </row>
    <row r="19" spans="1:15" ht="14.4" x14ac:dyDescent="0.3">
      <c r="A19" s="1">
        <v>390</v>
      </c>
      <c r="B19" s="2">
        <v>45639</v>
      </c>
      <c r="C19" s="1" t="s">
        <v>31</v>
      </c>
      <c r="D19" s="1" t="s">
        <v>48</v>
      </c>
      <c r="E19" s="1">
        <v>13</v>
      </c>
      <c r="F19" s="1">
        <v>22000</v>
      </c>
      <c r="G19" s="1">
        <v>286000</v>
      </c>
      <c r="H19" s="1">
        <v>70883</v>
      </c>
      <c r="I19" s="1" t="s">
        <v>15</v>
      </c>
      <c r="J19" s="1">
        <v>3</v>
      </c>
      <c r="K19" s="1" t="s">
        <v>16</v>
      </c>
      <c r="L19" s="1">
        <v>8</v>
      </c>
      <c r="M19" s="1" t="s">
        <v>20</v>
      </c>
      <c r="N19" s="5">
        <f>IF(Tabulka1[[#This Row],[E-shop]]="ano",1,0)</f>
        <v>0</v>
      </c>
      <c r="O19" s="5">
        <f>IF(Tabulka1[[#This Row],[Reklamace]]="ano",1,0)</f>
        <v>1</v>
      </c>
    </row>
    <row r="20" spans="1:15" ht="14.4" x14ac:dyDescent="0.3">
      <c r="A20" s="1">
        <v>104</v>
      </c>
      <c r="B20" s="2">
        <v>45828</v>
      </c>
      <c r="C20" s="1" t="s">
        <v>21</v>
      </c>
      <c r="D20" s="1" t="s">
        <v>29</v>
      </c>
      <c r="E20" s="1">
        <v>14</v>
      </c>
      <c r="F20" s="1">
        <v>20000</v>
      </c>
      <c r="G20" s="1">
        <v>280000</v>
      </c>
      <c r="H20" s="1">
        <v>46834</v>
      </c>
      <c r="I20" s="1" t="s">
        <v>15</v>
      </c>
      <c r="J20" s="1">
        <v>7</v>
      </c>
      <c r="K20" s="1" t="s">
        <v>16</v>
      </c>
      <c r="L20" s="1">
        <v>1</v>
      </c>
      <c r="M20" s="1" t="s">
        <v>20</v>
      </c>
      <c r="N20" s="5">
        <f>IF(Tabulka1[[#This Row],[E-shop]]="ano",1,0)</f>
        <v>0</v>
      </c>
      <c r="O20" s="5">
        <f>IF(Tabulka1[[#This Row],[Reklamace]]="ano",1,0)</f>
        <v>1</v>
      </c>
    </row>
    <row r="21" spans="1:15" ht="15.75" customHeight="1" x14ac:dyDescent="0.3">
      <c r="A21" s="1">
        <v>299</v>
      </c>
      <c r="B21" s="2">
        <v>45601</v>
      </c>
      <c r="C21" s="1" t="s">
        <v>36</v>
      </c>
      <c r="D21" s="1" t="s">
        <v>29</v>
      </c>
      <c r="E21" s="1">
        <v>14</v>
      </c>
      <c r="F21" s="1">
        <v>20000</v>
      </c>
      <c r="G21" s="1">
        <v>280000</v>
      </c>
      <c r="H21" s="1">
        <v>47259</v>
      </c>
      <c r="I21" s="1" t="s">
        <v>15</v>
      </c>
      <c r="J21" s="1">
        <v>7</v>
      </c>
      <c r="K21" s="1" t="s">
        <v>15</v>
      </c>
      <c r="L21" s="1">
        <v>3</v>
      </c>
      <c r="M21" s="1" t="s">
        <v>20</v>
      </c>
      <c r="N21" s="5">
        <f>IF(Tabulka1[[#This Row],[E-shop]]="ano",1,0)</f>
        <v>0</v>
      </c>
      <c r="O21" s="5">
        <f>IF(Tabulka1[[#This Row],[Reklamace]]="ano",1,0)</f>
        <v>0</v>
      </c>
    </row>
    <row r="22" spans="1:15" ht="15.75" customHeight="1" x14ac:dyDescent="0.3">
      <c r="A22" s="1">
        <v>70</v>
      </c>
      <c r="B22" s="2">
        <v>45651</v>
      </c>
      <c r="C22" s="1" t="s">
        <v>36</v>
      </c>
      <c r="D22" s="1" t="s">
        <v>47</v>
      </c>
      <c r="E22" s="1">
        <v>11</v>
      </c>
      <c r="F22" s="1">
        <v>25000</v>
      </c>
      <c r="G22" s="1">
        <v>275000</v>
      </c>
      <c r="H22" s="1">
        <v>81124</v>
      </c>
      <c r="I22" s="1" t="s">
        <v>16</v>
      </c>
      <c r="J22" s="1">
        <v>7</v>
      </c>
      <c r="K22" s="1" t="s">
        <v>16</v>
      </c>
      <c r="L22" s="1">
        <v>1</v>
      </c>
      <c r="M22" s="1" t="s">
        <v>17</v>
      </c>
      <c r="N22" s="5">
        <f>IF(Tabulka1[[#This Row],[E-shop]]="ano",1,0)</f>
        <v>1</v>
      </c>
      <c r="O22" s="5">
        <f>IF(Tabulka1[[#This Row],[Reklamace]]="ano",1,0)</f>
        <v>1</v>
      </c>
    </row>
    <row r="23" spans="1:15" ht="15.75" customHeight="1" x14ac:dyDescent="0.3">
      <c r="A23" s="1">
        <v>314</v>
      </c>
      <c r="B23" s="2">
        <v>45407</v>
      </c>
      <c r="C23" s="1" t="s">
        <v>21</v>
      </c>
      <c r="D23" s="1" t="s">
        <v>47</v>
      </c>
      <c r="E23" s="1">
        <v>11</v>
      </c>
      <c r="F23" s="1">
        <v>25000</v>
      </c>
      <c r="G23" s="1">
        <v>275000</v>
      </c>
      <c r="H23" s="1">
        <v>44843</v>
      </c>
      <c r="I23" s="1" t="s">
        <v>15</v>
      </c>
      <c r="J23" s="1">
        <v>6</v>
      </c>
      <c r="K23" s="1" t="s">
        <v>15</v>
      </c>
      <c r="L23" s="1">
        <v>3</v>
      </c>
      <c r="M23" s="1" t="s">
        <v>20</v>
      </c>
      <c r="N23" s="5">
        <f>IF(Tabulka1[[#This Row],[E-shop]]="ano",1,0)</f>
        <v>0</v>
      </c>
      <c r="O23" s="5">
        <f>IF(Tabulka1[[#This Row],[Reklamace]]="ano",1,0)</f>
        <v>0</v>
      </c>
    </row>
    <row r="24" spans="1:15" ht="15.75" customHeight="1" x14ac:dyDescent="0.3">
      <c r="A24" s="1">
        <v>909</v>
      </c>
      <c r="B24" s="2">
        <v>45717</v>
      </c>
      <c r="C24" s="1" t="s">
        <v>31</v>
      </c>
      <c r="D24" s="1" t="s">
        <v>47</v>
      </c>
      <c r="E24" s="1">
        <v>11</v>
      </c>
      <c r="F24" s="1">
        <v>25000</v>
      </c>
      <c r="G24" s="1">
        <v>275000</v>
      </c>
      <c r="H24" s="1">
        <v>73278</v>
      </c>
      <c r="I24" s="1" t="s">
        <v>15</v>
      </c>
      <c r="J24" s="1">
        <v>9</v>
      </c>
      <c r="K24" s="1" t="s">
        <v>16</v>
      </c>
      <c r="L24" s="1">
        <v>2</v>
      </c>
      <c r="M24" s="1" t="s">
        <v>20</v>
      </c>
      <c r="N24" s="5">
        <f>IF(Tabulka1[[#This Row],[E-shop]]="ano",1,0)</f>
        <v>0</v>
      </c>
      <c r="O24" s="5">
        <f>IF(Tabulka1[[#This Row],[Reklamace]]="ano",1,0)</f>
        <v>1</v>
      </c>
    </row>
    <row r="25" spans="1:15" ht="15.75" customHeight="1" x14ac:dyDescent="0.3">
      <c r="A25" s="1">
        <v>924</v>
      </c>
      <c r="B25" s="2">
        <v>45583</v>
      </c>
      <c r="C25" s="1" t="s">
        <v>18</v>
      </c>
      <c r="D25" s="1" t="s">
        <v>47</v>
      </c>
      <c r="E25" s="1">
        <v>11</v>
      </c>
      <c r="F25" s="1">
        <v>25000</v>
      </c>
      <c r="G25" s="1">
        <v>275000</v>
      </c>
      <c r="H25" s="1">
        <v>48308</v>
      </c>
      <c r="I25" s="1" t="s">
        <v>15</v>
      </c>
      <c r="J25" s="1">
        <v>7</v>
      </c>
      <c r="K25" s="1" t="s">
        <v>15</v>
      </c>
      <c r="L25" s="1">
        <v>1</v>
      </c>
      <c r="M25" s="1" t="s">
        <v>20</v>
      </c>
      <c r="N25" s="5">
        <f>IF(Tabulka1[[#This Row],[E-shop]]="ano",1,0)</f>
        <v>0</v>
      </c>
      <c r="O25" s="5">
        <f>IF(Tabulka1[[#This Row],[Reklamace]]="ano",1,0)</f>
        <v>0</v>
      </c>
    </row>
    <row r="26" spans="1:15" ht="15.75" customHeight="1" x14ac:dyDescent="0.3">
      <c r="A26" s="1">
        <v>290</v>
      </c>
      <c r="B26" s="2">
        <v>45719</v>
      </c>
      <c r="C26" s="1" t="s">
        <v>18</v>
      </c>
      <c r="D26" s="1" t="s">
        <v>48</v>
      </c>
      <c r="E26" s="1">
        <v>12</v>
      </c>
      <c r="F26" s="1">
        <v>22000</v>
      </c>
      <c r="G26" s="1">
        <v>264000</v>
      </c>
      <c r="H26" s="1">
        <v>69546</v>
      </c>
      <c r="I26" s="1" t="s">
        <v>15</v>
      </c>
      <c r="J26" s="1">
        <v>4</v>
      </c>
      <c r="K26" s="1" t="s">
        <v>15</v>
      </c>
      <c r="L26" s="1">
        <v>4</v>
      </c>
      <c r="M26" s="1" t="s">
        <v>20</v>
      </c>
      <c r="N26" s="5">
        <f>IF(Tabulka1[[#This Row],[E-shop]]="ano",1,0)</f>
        <v>0</v>
      </c>
      <c r="O26" s="5">
        <f>IF(Tabulka1[[#This Row],[Reklamace]]="ano",1,0)</f>
        <v>0</v>
      </c>
    </row>
    <row r="27" spans="1:15" ht="15.75" customHeight="1" x14ac:dyDescent="0.3">
      <c r="A27" s="1">
        <v>323</v>
      </c>
      <c r="B27" s="2">
        <v>45614</v>
      </c>
      <c r="C27" s="1" t="s">
        <v>13</v>
      </c>
      <c r="D27" s="1" t="s">
        <v>48</v>
      </c>
      <c r="E27" s="1">
        <v>12</v>
      </c>
      <c r="F27" s="1">
        <v>22000</v>
      </c>
      <c r="G27" s="1">
        <v>264000</v>
      </c>
      <c r="H27" s="1">
        <v>50398</v>
      </c>
      <c r="I27" s="1" t="s">
        <v>16</v>
      </c>
      <c r="J27" s="1">
        <v>9</v>
      </c>
      <c r="K27" s="1" t="s">
        <v>16</v>
      </c>
      <c r="L27" s="1">
        <v>1</v>
      </c>
      <c r="M27" s="1" t="s">
        <v>17</v>
      </c>
      <c r="N27" s="5">
        <f>IF(Tabulka1[[#This Row],[E-shop]]="ano",1,0)</f>
        <v>1</v>
      </c>
      <c r="O27" s="5">
        <f>IF(Tabulka1[[#This Row],[Reklamace]]="ano",1,0)</f>
        <v>1</v>
      </c>
    </row>
    <row r="28" spans="1:15" ht="15.75" customHeight="1" x14ac:dyDescent="0.3">
      <c r="A28" s="1">
        <v>342</v>
      </c>
      <c r="B28" s="2">
        <v>45593</v>
      </c>
      <c r="C28" s="1" t="s">
        <v>21</v>
      </c>
      <c r="D28" s="1" t="s">
        <v>48</v>
      </c>
      <c r="E28" s="1">
        <v>12</v>
      </c>
      <c r="F28" s="1">
        <v>22000</v>
      </c>
      <c r="G28" s="1">
        <v>264000</v>
      </c>
      <c r="H28" s="1">
        <v>71629</v>
      </c>
      <c r="I28" s="1" t="s">
        <v>15</v>
      </c>
      <c r="J28" s="1">
        <v>8</v>
      </c>
      <c r="K28" s="1" t="s">
        <v>16</v>
      </c>
      <c r="L28" s="1">
        <v>2</v>
      </c>
      <c r="M28" s="1" t="s">
        <v>20</v>
      </c>
      <c r="N28" s="5">
        <f>IF(Tabulka1[[#This Row],[E-shop]]="ano",1,0)</f>
        <v>0</v>
      </c>
      <c r="O28" s="5">
        <f>IF(Tabulka1[[#This Row],[Reklamace]]="ano",1,0)</f>
        <v>1</v>
      </c>
    </row>
    <row r="29" spans="1:15" ht="15.75" customHeight="1" x14ac:dyDescent="0.3">
      <c r="A29" s="1">
        <v>358</v>
      </c>
      <c r="B29" s="2">
        <v>46020</v>
      </c>
      <c r="C29" s="1" t="s">
        <v>31</v>
      </c>
      <c r="D29" s="1" t="s">
        <v>48</v>
      </c>
      <c r="E29" s="1">
        <v>12</v>
      </c>
      <c r="F29" s="1">
        <v>22000</v>
      </c>
      <c r="G29" s="1">
        <v>264000</v>
      </c>
      <c r="H29" s="1">
        <v>63520</v>
      </c>
      <c r="I29" s="1" t="s">
        <v>16</v>
      </c>
      <c r="J29" s="1">
        <v>5</v>
      </c>
      <c r="K29" s="1" t="s">
        <v>16</v>
      </c>
      <c r="L29" s="1">
        <v>4</v>
      </c>
      <c r="M29" s="1" t="s">
        <v>20</v>
      </c>
      <c r="N29" s="5">
        <f>IF(Tabulka1[[#This Row],[E-shop]]="ano",1,0)</f>
        <v>1</v>
      </c>
      <c r="O29" s="5">
        <f>IF(Tabulka1[[#This Row],[Reklamace]]="ano",1,0)</f>
        <v>1</v>
      </c>
    </row>
    <row r="30" spans="1:15" ht="15.75" customHeight="1" x14ac:dyDescent="0.3">
      <c r="A30" s="1">
        <v>362</v>
      </c>
      <c r="B30" s="2">
        <v>45521</v>
      </c>
      <c r="C30" s="1" t="s">
        <v>21</v>
      </c>
      <c r="D30" s="1" t="s">
        <v>48</v>
      </c>
      <c r="E30" s="1">
        <v>12</v>
      </c>
      <c r="F30" s="1">
        <v>22000</v>
      </c>
      <c r="G30" s="1">
        <v>264000</v>
      </c>
      <c r="H30" s="1">
        <v>47490</v>
      </c>
      <c r="I30" s="1" t="s">
        <v>15</v>
      </c>
      <c r="J30" s="1">
        <v>8</v>
      </c>
      <c r="K30" s="1" t="s">
        <v>16</v>
      </c>
      <c r="L30" s="1">
        <v>1</v>
      </c>
      <c r="M30" s="1" t="s">
        <v>20</v>
      </c>
      <c r="N30" s="5">
        <f>IF(Tabulka1[[#This Row],[E-shop]]="ano",1,0)</f>
        <v>0</v>
      </c>
      <c r="O30" s="5">
        <f>IF(Tabulka1[[#This Row],[Reklamace]]="ano",1,0)</f>
        <v>1</v>
      </c>
    </row>
    <row r="31" spans="1:15" ht="15.75" customHeight="1" x14ac:dyDescent="0.3">
      <c r="A31" s="1">
        <v>438</v>
      </c>
      <c r="B31" s="2">
        <v>45909</v>
      </c>
      <c r="C31" s="1" t="s">
        <v>36</v>
      </c>
      <c r="D31" s="1" t="s">
        <v>48</v>
      </c>
      <c r="E31" s="1">
        <v>12</v>
      </c>
      <c r="F31" s="1">
        <v>22000</v>
      </c>
      <c r="G31" s="1">
        <v>264000</v>
      </c>
      <c r="H31" s="1">
        <v>76689</v>
      </c>
      <c r="I31" s="1" t="s">
        <v>15</v>
      </c>
      <c r="J31" s="1">
        <v>7</v>
      </c>
      <c r="K31" s="1" t="s">
        <v>15</v>
      </c>
      <c r="L31" s="1">
        <v>2</v>
      </c>
      <c r="M31" s="1" t="s">
        <v>20</v>
      </c>
      <c r="N31" s="5">
        <f>IF(Tabulka1[[#This Row],[E-shop]]="ano",1,0)</f>
        <v>0</v>
      </c>
      <c r="O31" s="5">
        <f>IF(Tabulka1[[#This Row],[Reklamace]]="ano",1,0)</f>
        <v>0</v>
      </c>
    </row>
    <row r="32" spans="1:15" ht="15.75" customHeight="1" x14ac:dyDescent="0.3">
      <c r="A32" s="1">
        <v>818</v>
      </c>
      <c r="B32" s="2">
        <v>45821</v>
      </c>
      <c r="C32" s="1" t="s">
        <v>23</v>
      </c>
      <c r="D32" s="1" t="s">
        <v>48</v>
      </c>
      <c r="E32" s="1">
        <v>12</v>
      </c>
      <c r="F32" s="1">
        <v>22000</v>
      </c>
      <c r="G32" s="1">
        <v>264000</v>
      </c>
      <c r="H32" s="1">
        <v>54588</v>
      </c>
      <c r="I32" s="1" t="s">
        <v>15</v>
      </c>
      <c r="J32" s="1">
        <v>5</v>
      </c>
      <c r="K32" s="1" t="s">
        <v>15</v>
      </c>
      <c r="L32" s="1">
        <v>5</v>
      </c>
      <c r="M32" s="1" t="s">
        <v>20</v>
      </c>
      <c r="N32" s="5">
        <f>IF(Tabulka1[[#This Row],[E-shop]]="ano",1,0)</f>
        <v>0</v>
      </c>
      <c r="O32" s="5">
        <f>IF(Tabulka1[[#This Row],[Reklamace]]="ano",1,0)</f>
        <v>0</v>
      </c>
    </row>
    <row r="33" spans="1:15" ht="15.75" customHeight="1" x14ac:dyDescent="0.3">
      <c r="A33" s="1">
        <v>898</v>
      </c>
      <c r="B33" s="2">
        <v>45813</v>
      </c>
      <c r="C33" s="1" t="s">
        <v>23</v>
      </c>
      <c r="D33" s="1" t="s">
        <v>48</v>
      </c>
      <c r="E33" s="1">
        <v>12</v>
      </c>
      <c r="F33" s="1">
        <v>22000</v>
      </c>
      <c r="G33" s="1">
        <v>264000</v>
      </c>
      <c r="H33" s="1">
        <v>72430</v>
      </c>
      <c r="I33" s="1" t="s">
        <v>15</v>
      </c>
      <c r="J33" s="1">
        <v>7</v>
      </c>
      <c r="K33" s="1" t="s">
        <v>16</v>
      </c>
      <c r="L33" s="1">
        <v>4</v>
      </c>
      <c r="M33" s="1" t="s">
        <v>20</v>
      </c>
      <c r="N33" s="5">
        <f>IF(Tabulka1[[#This Row],[E-shop]]="ano",1,0)</f>
        <v>0</v>
      </c>
      <c r="O33" s="5">
        <f>IF(Tabulka1[[#This Row],[Reklamace]]="ano",1,0)</f>
        <v>1</v>
      </c>
    </row>
    <row r="34" spans="1:15" ht="15.75" customHeight="1" x14ac:dyDescent="0.3">
      <c r="A34" s="1">
        <v>329</v>
      </c>
      <c r="B34" s="2">
        <v>45799</v>
      </c>
      <c r="C34" s="1" t="s">
        <v>25</v>
      </c>
      <c r="D34" s="1" t="s">
        <v>29</v>
      </c>
      <c r="E34" s="1">
        <v>13</v>
      </c>
      <c r="F34" s="1">
        <v>20000</v>
      </c>
      <c r="G34" s="1">
        <v>260000</v>
      </c>
      <c r="H34" s="1">
        <v>76831</v>
      </c>
      <c r="I34" s="1" t="s">
        <v>16</v>
      </c>
      <c r="J34" s="1">
        <v>3</v>
      </c>
      <c r="K34" s="1" t="s">
        <v>15</v>
      </c>
      <c r="L34" s="1">
        <v>7</v>
      </c>
      <c r="M34" s="1" t="s">
        <v>17</v>
      </c>
      <c r="N34" s="5">
        <f>IF(Tabulka1[[#This Row],[E-shop]]="ano",1,0)</f>
        <v>1</v>
      </c>
      <c r="O34" s="5">
        <f>IF(Tabulka1[[#This Row],[Reklamace]]="ano",1,0)</f>
        <v>0</v>
      </c>
    </row>
    <row r="35" spans="1:15" ht="15.75" customHeight="1" x14ac:dyDescent="0.3">
      <c r="A35" s="1">
        <v>475</v>
      </c>
      <c r="B35" s="2">
        <v>45401</v>
      </c>
      <c r="C35" s="1" t="s">
        <v>25</v>
      </c>
      <c r="D35" s="1" t="s">
        <v>29</v>
      </c>
      <c r="E35" s="1">
        <v>13</v>
      </c>
      <c r="F35" s="1">
        <v>20000</v>
      </c>
      <c r="G35" s="1">
        <v>260000</v>
      </c>
      <c r="H35" s="1">
        <v>74807</v>
      </c>
      <c r="I35" s="1" t="s">
        <v>15</v>
      </c>
      <c r="J35" s="1">
        <v>8</v>
      </c>
      <c r="K35" s="1" t="s">
        <v>16</v>
      </c>
      <c r="L35" s="1">
        <v>1</v>
      </c>
      <c r="M35" s="1" t="s">
        <v>20</v>
      </c>
      <c r="N35" s="5">
        <f>IF(Tabulka1[[#This Row],[E-shop]]="ano",1,0)</f>
        <v>0</v>
      </c>
      <c r="O35" s="5">
        <f>IF(Tabulka1[[#This Row],[Reklamace]]="ano",1,0)</f>
        <v>1</v>
      </c>
    </row>
    <row r="36" spans="1:15" ht="15.75" customHeight="1" x14ac:dyDescent="0.3">
      <c r="A36" s="1">
        <v>873</v>
      </c>
      <c r="B36" s="2">
        <v>45961</v>
      </c>
      <c r="C36" s="1" t="s">
        <v>21</v>
      </c>
      <c r="D36" s="1" t="s">
        <v>29</v>
      </c>
      <c r="E36" s="1">
        <v>13</v>
      </c>
      <c r="F36" s="1">
        <v>20000</v>
      </c>
      <c r="G36" s="1">
        <v>260000</v>
      </c>
      <c r="H36" s="1">
        <v>44734</v>
      </c>
      <c r="I36" s="1" t="s">
        <v>15</v>
      </c>
      <c r="J36" s="1">
        <v>3</v>
      </c>
      <c r="K36" s="1" t="s">
        <v>15</v>
      </c>
      <c r="L36" s="1">
        <v>6</v>
      </c>
      <c r="M36" s="1" t="s">
        <v>20</v>
      </c>
      <c r="N36" s="5">
        <f>IF(Tabulka1[[#This Row],[E-shop]]="ano",1,0)</f>
        <v>0</v>
      </c>
      <c r="O36" s="5">
        <f>IF(Tabulka1[[#This Row],[Reklamace]]="ano",1,0)</f>
        <v>0</v>
      </c>
    </row>
    <row r="37" spans="1:15" ht="15.75" customHeight="1" x14ac:dyDescent="0.3">
      <c r="A37" s="1">
        <v>41</v>
      </c>
      <c r="B37" s="2">
        <v>45782</v>
      </c>
      <c r="C37" s="1" t="s">
        <v>21</v>
      </c>
      <c r="D37" s="1" t="s">
        <v>28</v>
      </c>
      <c r="E37" s="1">
        <v>14</v>
      </c>
      <c r="F37" s="1">
        <v>18000</v>
      </c>
      <c r="G37" s="1">
        <v>252000</v>
      </c>
      <c r="H37" s="1">
        <v>45100</v>
      </c>
      <c r="I37" s="1" t="s">
        <v>16</v>
      </c>
      <c r="J37" s="1">
        <v>4</v>
      </c>
      <c r="K37" s="1" t="s">
        <v>15</v>
      </c>
      <c r="L37" s="1">
        <v>7</v>
      </c>
      <c r="M37" s="1" t="s">
        <v>20</v>
      </c>
      <c r="N37" s="5">
        <f>IF(Tabulka1[[#This Row],[E-shop]]="ano",1,0)</f>
        <v>1</v>
      </c>
      <c r="O37" s="5">
        <f>IF(Tabulka1[[#This Row],[Reklamace]]="ano",1,0)</f>
        <v>0</v>
      </c>
    </row>
    <row r="38" spans="1:15" ht="15.75" customHeight="1" x14ac:dyDescent="0.3">
      <c r="A38" s="1">
        <v>543</v>
      </c>
      <c r="B38" s="2">
        <v>45818</v>
      </c>
      <c r="C38" s="1" t="s">
        <v>21</v>
      </c>
      <c r="D38" s="1" t="s">
        <v>28</v>
      </c>
      <c r="E38" s="1">
        <v>14</v>
      </c>
      <c r="F38" s="1">
        <v>18000</v>
      </c>
      <c r="G38" s="1">
        <v>252000</v>
      </c>
      <c r="H38" s="1">
        <v>52482</v>
      </c>
      <c r="I38" s="1" t="s">
        <v>15</v>
      </c>
      <c r="J38" s="1">
        <v>3</v>
      </c>
      <c r="K38" s="1" t="s">
        <v>16</v>
      </c>
      <c r="L38" s="1">
        <v>6</v>
      </c>
      <c r="M38" s="1" t="s">
        <v>20</v>
      </c>
      <c r="N38" s="5">
        <f>IF(Tabulka1[[#This Row],[E-shop]]="ano",1,0)</f>
        <v>0</v>
      </c>
      <c r="O38" s="5">
        <f>IF(Tabulka1[[#This Row],[Reklamace]]="ano",1,0)</f>
        <v>1</v>
      </c>
    </row>
    <row r="39" spans="1:15" ht="15.75" customHeight="1" x14ac:dyDescent="0.3">
      <c r="A39" s="1">
        <v>241</v>
      </c>
      <c r="B39" s="2">
        <v>45997</v>
      </c>
      <c r="C39" s="1" t="s">
        <v>23</v>
      </c>
      <c r="D39" s="1" t="s">
        <v>47</v>
      </c>
      <c r="E39" s="1">
        <v>10</v>
      </c>
      <c r="F39" s="1">
        <v>25000</v>
      </c>
      <c r="G39" s="1">
        <v>250000</v>
      </c>
      <c r="H39" s="1">
        <v>52683</v>
      </c>
      <c r="I39" s="1" t="s">
        <v>15</v>
      </c>
      <c r="J39" s="1">
        <v>5</v>
      </c>
      <c r="K39" s="1" t="s">
        <v>16</v>
      </c>
      <c r="L39" s="1">
        <v>4</v>
      </c>
      <c r="M39" s="1" t="s">
        <v>20</v>
      </c>
      <c r="N39" s="5">
        <f>IF(Tabulka1[[#This Row],[E-shop]]="ano",1,0)</f>
        <v>0</v>
      </c>
      <c r="O39" s="5">
        <f>IF(Tabulka1[[#This Row],[Reklamace]]="ano",1,0)</f>
        <v>1</v>
      </c>
    </row>
    <row r="40" spans="1:15" ht="15.75" customHeight="1" x14ac:dyDescent="0.3">
      <c r="A40" s="1">
        <v>11</v>
      </c>
      <c r="B40" s="2">
        <v>45607</v>
      </c>
      <c r="C40" s="1" t="s">
        <v>25</v>
      </c>
      <c r="D40" s="1" t="s">
        <v>29</v>
      </c>
      <c r="E40" s="1">
        <v>12</v>
      </c>
      <c r="F40" s="1">
        <v>20000</v>
      </c>
      <c r="G40" s="1">
        <v>240000</v>
      </c>
      <c r="H40" s="1">
        <v>65071</v>
      </c>
      <c r="I40" s="1" t="s">
        <v>16</v>
      </c>
      <c r="J40" s="1">
        <v>4</v>
      </c>
      <c r="K40" s="1" t="s">
        <v>15</v>
      </c>
      <c r="L40" s="1">
        <v>5</v>
      </c>
      <c r="M40" s="1" t="s">
        <v>20</v>
      </c>
      <c r="N40" s="5">
        <f>IF(Tabulka1[[#This Row],[E-shop]]="ano",1,0)</f>
        <v>1</v>
      </c>
      <c r="O40" s="5">
        <f>IF(Tabulka1[[#This Row],[Reklamace]]="ano",1,0)</f>
        <v>0</v>
      </c>
    </row>
    <row r="41" spans="1:15" ht="15.75" customHeight="1" x14ac:dyDescent="0.3">
      <c r="A41" s="1">
        <v>417</v>
      </c>
      <c r="B41" s="2">
        <v>45516</v>
      </c>
      <c r="C41" s="1" t="s">
        <v>18</v>
      </c>
      <c r="D41" s="1" t="s">
        <v>29</v>
      </c>
      <c r="E41" s="1">
        <v>12</v>
      </c>
      <c r="F41" s="1">
        <v>20000</v>
      </c>
      <c r="G41" s="1">
        <v>240000</v>
      </c>
      <c r="H41" s="1">
        <v>71809</v>
      </c>
      <c r="I41" s="1" t="s">
        <v>15</v>
      </c>
      <c r="J41" s="1">
        <v>7</v>
      </c>
      <c r="K41" s="1" t="s">
        <v>16</v>
      </c>
      <c r="L41" s="1">
        <v>2</v>
      </c>
      <c r="M41" s="1" t="s">
        <v>20</v>
      </c>
      <c r="N41" s="5">
        <f>IF(Tabulka1[[#This Row],[E-shop]]="ano",1,0)</f>
        <v>0</v>
      </c>
      <c r="O41" s="5">
        <f>IF(Tabulka1[[#This Row],[Reklamace]]="ano",1,0)</f>
        <v>1</v>
      </c>
    </row>
    <row r="42" spans="1:15" ht="15.75" customHeight="1" x14ac:dyDescent="0.3">
      <c r="A42" s="1">
        <v>982</v>
      </c>
      <c r="B42" s="2">
        <v>45595</v>
      </c>
      <c r="C42" s="1" t="s">
        <v>21</v>
      </c>
      <c r="D42" s="1" t="s">
        <v>29</v>
      </c>
      <c r="E42" s="1">
        <v>12</v>
      </c>
      <c r="F42" s="1">
        <v>20000</v>
      </c>
      <c r="G42" s="1">
        <v>240000</v>
      </c>
      <c r="H42" s="1">
        <v>62708</v>
      </c>
      <c r="I42" s="1" t="s">
        <v>15</v>
      </c>
      <c r="J42" s="1">
        <v>7</v>
      </c>
      <c r="K42" s="1" t="s">
        <v>16</v>
      </c>
      <c r="L42" s="1">
        <v>3</v>
      </c>
      <c r="M42" s="1" t="s">
        <v>20</v>
      </c>
      <c r="N42" s="5">
        <f>IF(Tabulka1[[#This Row],[E-shop]]="ano",1,0)</f>
        <v>0</v>
      </c>
      <c r="O42" s="5">
        <f>IF(Tabulka1[[#This Row],[Reklamace]]="ano",1,0)</f>
        <v>1</v>
      </c>
    </row>
    <row r="43" spans="1:15" ht="15.75" customHeight="1" x14ac:dyDescent="0.3">
      <c r="A43" s="1">
        <v>369</v>
      </c>
      <c r="B43" s="2">
        <v>45698</v>
      </c>
      <c r="C43" s="1" t="s">
        <v>18</v>
      </c>
      <c r="D43" s="1" t="s">
        <v>28</v>
      </c>
      <c r="E43" s="1">
        <v>13</v>
      </c>
      <c r="F43" s="1">
        <v>18000</v>
      </c>
      <c r="G43" s="1">
        <v>234000</v>
      </c>
      <c r="H43" s="1">
        <v>41361</v>
      </c>
      <c r="I43" s="1" t="s">
        <v>15</v>
      </c>
      <c r="J43" s="1">
        <v>9</v>
      </c>
      <c r="K43" s="1" t="s">
        <v>16</v>
      </c>
      <c r="L43" s="1">
        <v>2</v>
      </c>
      <c r="M43" s="1" t="s">
        <v>20</v>
      </c>
      <c r="N43" s="5">
        <f>IF(Tabulka1[[#This Row],[E-shop]]="ano",1,0)</f>
        <v>0</v>
      </c>
      <c r="O43" s="5">
        <f>IF(Tabulka1[[#This Row],[Reklamace]]="ano",1,0)</f>
        <v>1</v>
      </c>
    </row>
    <row r="44" spans="1:15" ht="15.75" customHeight="1" x14ac:dyDescent="0.3">
      <c r="A44" s="1">
        <v>407</v>
      </c>
      <c r="B44" s="2">
        <v>45683</v>
      </c>
      <c r="C44" s="1" t="s">
        <v>25</v>
      </c>
      <c r="D44" s="1" t="s">
        <v>28</v>
      </c>
      <c r="E44" s="1">
        <v>13</v>
      </c>
      <c r="F44" s="1">
        <v>18000</v>
      </c>
      <c r="G44" s="1">
        <v>234000</v>
      </c>
      <c r="H44" s="1">
        <v>63853</v>
      </c>
      <c r="I44" s="1" t="s">
        <v>15</v>
      </c>
      <c r="J44" s="1">
        <v>5</v>
      </c>
      <c r="K44" s="1" t="s">
        <v>16</v>
      </c>
      <c r="L44" s="1">
        <v>3</v>
      </c>
      <c r="M44" s="1" t="s">
        <v>20</v>
      </c>
      <c r="N44" s="5">
        <f>IF(Tabulka1[[#This Row],[E-shop]]="ano",1,0)</f>
        <v>0</v>
      </c>
      <c r="O44" s="5">
        <f>IF(Tabulka1[[#This Row],[Reklamace]]="ano",1,0)</f>
        <v>1</v>
      </c>
    </row>
    <row r="45" spans="1:15" ht="15.75" customHeight="1" x14ac:dyDescent="0.3">
      <c r="A45" s="1">
        <v>600</v>
      </c>
      <c r="B45" s="2">
        <v>45759</v>
      </c>
      <c r="C45" s="1" t="s">
        <v>23</v>
      </c>
      <c r="D45" s="1" t="s">
        <v>28</v>
      </c>
      <c r="E45" s="1">
        <v>13</v>
      </c>
      <c r="F45" s="1">
        <v>18000</v>
      </c>
      <c r="G45" s="1">
        <v>234000</v>
      </c>
      <c r="H45" s="1">
        <v>39922</v>
      </c>
      <c r="I45" s="1" t="s">
        <v>15</v>
      </c>
      <c r="J45" s="1">
        <v>9</v>
      </c>
      <c r="K45" s="1" t="s">
        <v>16</v>
      </c>
      <c r="L45" s="1">
        <v>1</v>
      </c>
      <c r="M45" s="1" t="s">
        <v>20</v>
      </c>
      <c r="N45" s="5">
        <f>IF(Tabulka1[[#This Row],[E-shop]]="ano",1,0)</f>
        <v>0</v>
      </c>
      <c r="O45" s="5">
        <f>IF(Tabulka1[[#This Row],[Reklamace]]="ano",1,0)</f>
        <v>1</v>
      </c>
    </row>
    <row r="46" spans="1:15" ht="15.75" customHeight="1" x14ac:dyDescent="0.3">
      <c r="A46" s="1">
        <v>893</v>
      </c>
      <c r="B46" s="2">
        <v>45932</v>
      </c>
      <c r="C46" s="1" t="s">
        <v>31</v>
      </c>
      <c r="D46" s="1" t="s">
        <v>28</v>
      </c>
      <c r="E46" s="1">
        <v>13</v>
      </c>
      <c r="F46" s="1">
        <v>18000</v>
      </c>
      <c r="G46" s="1">
        <v>234000</v>
      </c>
      <c r="H46" s="1">
        <v>48245</v>
      </c>
      <c r="I46" s="1" t="s">
        <v>16</v>
      </c>
      <c r="J46" s="1">
        <v>8</v>
      </c>
      <c r="K46" s="1" t="s">
        <v>16</v>
      </c>
      <c r="L46" s="1">
        <v>3</v>
      </c>
      <c r="M46" s="1" t="s">
        <v>17</v>
      </c>
      <c r="N46" s="5">
        <f>IF(Tabulka1[[#This Row],[E-shop]]="ano",1,0)</f>
        <v>1</v>
      </c>
      <c r="O46" s="5">
        <f>IF(Tabulka1[[#This Row],[Reklamace]]="ano",1,0)</f>
        <v>1</v>
      </c>
    </row>
    <row r="47" spans="1:15" ht="15.75" customHeight="1" x14ac:dyDescent="0.3">
      <c r="A47" s="1">
        <v>955</v>
      </c>
      <c r="B47" s="2">
        <v>45742</v>
      </c>
      <c r="C47" s="1" t="s">
        <v>21</v>
      </c>
      <c r="D47" s="1" t="s">
        <v>28</v>
      </c>
      <c r="E47" s="1">
        <v>13</v>
      </c>
      <c r="F47" s="1">
        <v>18000</v>
      </c>
      <c r="G47" s="1">
        <v>234000</v>
      </c>
      <c r="H47" s="1">
        <v>57218</v>
      </c>
      <c r="I47" s="1" t="s">
        <v>15</v>
      </c>
      <c r="J47" s="1">
        <v>6</v>
      </c>
      <c r="K47" s="1" t="s">
        <v>15</v>
      </c>
      <c r="L47" s="1">
        <v>5</v>
      </c>
      <c r="M47" s="1" t="s">
        <v>20</v>
      </c>
      <c r="N47" s="5">
        <f>IF(Tabulka1[[#This Row],[E-shop]]="ano",1,0)</f>
        <v>0</v>
      </c>
      <c r="O47" s="5">
        <f>IF(Tabulka1[[#This Row],[Reklamace]]="ano",1,0)</f>
        <v>0</v>
      </c>
    </row>
    <row r="48" spans="1:15" ht="15.75" customHeight="1" x14ac:dyDescent="0.3">
      <c r="A48" s="1">
        <v>285</v>
      </c>
      <c r="B48" s="2">
        <v>45730</v>
      </c>
      <c r="C48" s="1" t="s">
        <v>31</v>
      </c>
      <c r="D48" s="1" t="s">
        <v>48</v>
      </c>
      <c r="E48" s="1">
        <v>10</v>
      </c>
      <c r="F48" s="1">
        <v>22000</v>
      </c>
      <c r="G48" s="1">
        <v>220000</v>
      </c>
      <c r="H48" s="1">
        <v>53654</v>
      </c>
      <c r="I48" s="1" t="s">
        <v>16</v>
      </c>
      <c r="J48" s="1">
        <v>5</v>
      </c>
      <c r="K48" s="1" t="s">
        <v>16</v>
      </c>
      <c r="L48" s="1">
        <v>3</v>
      </c>
      <c r="M48" s="1" t="s">
        <v>20</v>
      </c>
      <c r="N48" s="5">
        <f>IF(Tabulka1[[#This Row],[E-shop]]="ano",1,0)</f>
        <v>1</v>
      </c>
      <c r="O48" s="5">
        <f>IF(Tabulka1[[#This Row],[Reklamace]]="ano",1,0)</f>
        <v>1</v>
      </c>
    </row>
    <row r="49" spans="1:15" ht="15.75" customHeight="1" x14ac:dyDescent="0.3">
      <c r="A49" s="1">
        <v>508</v>
      </c>
      <c r="B49" s="2">
        <v>45871</v>
      </c>
      <c r="C49" s="1" t="s">
        <v>31</v>
      </c>
      <c r="D49" s="1" t="s">
        <v>48</v>
      </c>
      <c r="E49" s="1">
        <v>10</v>
      </c>
      <c r="F49" s="1">
        <v>22000</v>
      </c>
      <c r="G49" s="1">
        <v>220000</v>
      </c>
      <c r="H49" s="1">
        <v>51756</v>
      </c>
      <c r="I49" s="1" t="s">
        <v>16</v>
      </c>
      <c r="J49" s="1">
        <v>5</v>
      </c>
      <c r="K49" s="1" t="s">
        <v>16</v>
      </c>
      <c r="L49" s="1">
        <v>4</v>
      </c>
      <c r="M49" s="1" t="s">
        <v>20</v>
      </c>
      <c r="N49" s="5">
        <f>IF(Tabulka1[[#This Row],[E-shop]]="ano",1,0)</f>
        <v>1</v>
      </c>
      <c r="O49" s="5">
        <f>IF(Tabulka1[[#This Row],[Reklamace]]="ano",1,0)</f>
        <v>1</v>
      </c>
    </row>
    <row r="50" spans="1:15" ht="15.75" customHeight="1" x14ac:dyDescent="0.3">
      <c r="A50" s="1">
        <v>523</v>
      </c>
      <c r="B50" s="2">
        <v>45948</v>
      </c>
      <c r="C50" s="1" t="s">
        <v>31</v>
      </c>
      <c r="D50" s="1" t="s">
        <v>48</v>
      </c>
      <c r="E50" s="1">
        <v>10</v>
      </c>
      <c r="F50" s="1">
        <v>22000</v>
      </c>
      <c r="G50" s="1">
        <v>220000</v>
      </c>
      <c r="H50" s="1">
        <v>37899</v>
      </c>
      <c r="I50" s="1" t="s">
        <v>16</v>
      </c>
      <c r="J50" s="1">
        <v>8</v>
      </c>
      <c r="K50" s="1" t="s">
        <v>16</v>
      </c>
      <c r="L50" s="1">
        <v>1</v>
      </c>
      <c r="M50" s="1" t="s">
        <v>20</v>
      </c>
      <c r="N50" s="5">
        <f>IF(Tabulka1[[#This Row],[E-shop]]="ano",1,0)</f>
        <v>1</v>
      </c>
      <c r="O50" s="5">
        <f>IF(Tabulka1[[#This Row],[Reklamace]]="ano",1,0)</f>
        <v>1</v>
      </c>
    </row>
    <row r="51" spans="1:15" ht="15.75" customHeight="1" x14ac:dyDescent="0.3">
      <c r="A51" s="1">
        <v>601</v>
      </c>
      <c r="B51" s="2">
        <v>45792</v>
      </c>
      <c r="C51" s="1" t="s">
        <v>13</v>
      </c>
      <c r="D51" s="1" t="s">
        <v>48</v>
      </c>
      <c r="E51" s="1">
        <v>10</v>
      </c>
      <c r="F51" s="1">
        <v>22000</v>
      </c>
      <c r="G51" s="1">
        <v>220000</v>
      </c>
      <c r="H51" s="1">
        <v>55015</v>
      </c>
      <c r="I51" s="1" t="s">
        <v>15</v>
      </c>
      <c r="J51" s="1">
        <v>5</v>
      </c>
      <c r="K51" s="1" t="s">
        <v>15</v>
      </c>
      <c r="L51" s="1">
        <v>5</v>
      </c>
      <c r="M51" s="1" t="s">
        <v>20</v>
      </c>
      <c r="N51" s="5">
        <f>IF(Tabulka1[[#This Row],[E-shop]]="ano",1,0)</f>
        <v>0</v>
      </c>
      <c r="O51" s="5">
        <f>IF(Tabulka1[[#This Row],[Reklamace]]="ano",1,0)</f>
        <v>0</v>
      </c>
    </row>
    <row r="52" spans="1:15" ht="15.75" customHeight="1" x14ac:dyDescent="0.3">
      <c r="A52" s="1">
        <v>612</v>
      </c>
      <c r="B52" s="2">
        <v>46002</v>
      </c>
      <c r="C52" s="1" t="s">
        <v>13</v>
      </c>
      <c r="D52" s="1" t="s">
        <v>29</v>
      </c>
      <c r="E52" s="1">
        <v>11</v>
      </c>
      <c r="F52" s="1">
        <v>20000</v>
      </c>
      <c r="G52" s="1">
        <v>220000</v>
      </c>
      <c r="H52" s="1">
        <v>58610</v>
      </c>
      <c r="I52" s="1" t="s">
        <v>15</v>
      </c>
      <c r="J52" s="1">
        <v>6</v>
      </c>
      <c r="K52" s="1" t="s">
        <v>16</v>
      </c>
      <c r="L52" s="1">
        <v>2</v>
      </c>
      <c r="M52" s="1" t="s">
        <v>20</v>
      </c>
      <c r="N52" s="5">
        <f>IF(Tabulka1[[#This Row],[E-shop]]="ano",1,0)</f>
        <v>0</v>
      </c>
      <c r="O52" s="5">
        <f>IF(Tabulka1[[#This Row],[Reklamace]]="ano",1,0)</f>
        <v>1</v>
      </c>
    </row>
    <row r="53" spans="1:15" ht="15.75" customHeight="1" x14ac:dyDescent="0.3">
      <c r="A53" s="1">
        <v>724</v>
      </c>
      <c r="B53" s="2">
        <v>45714</v>
      </c>
      <c r="C53" s="1" t="s">
        <v>36</v>
      </c>
      <c r="D53" s="1" t="s">
        <v>48</v>
      </c>
      <c r="E53" s="1">
        <v>10</v>
      </c>
      <c r="F53" s="1">
        <v>22000</v>
      </c>
      <c r="G53" s="1">
        <v>220000</v>
      </c>
      <c r="H53" s="1">
        <v>50019</v>
      </c>
      <c r="I53" s="1" t="s">
        <v>15</v>
      </c>
      <c r="J53" s="1">
        <v>8</v>
      </c>
      <c r="K53" s="1" t="s">
        <v>16</v>
      </c>
      <c r="L53" s="1">
        <v>2</v>
      </c>
      <c r="M53" s="1" t="s">
        <v>17</v>
      </c>
      <c r="N53" s="5">
        <f>IF(Tabulka1[[#This Row],[E-shop]]="ano",1,0)</f>
        <v>0</v>
      </c>
      <c r="O53" s="5">
        <f>IF(Tabulka1[[#This Row],[Reklamace]]="ano",1,0)</f>
        <v>1</v>
      </c>
    </row>
    <row r="54" spans="1:15" ht="15.75" customHeight="1" x14ac:dyDescent="0.3">
      <c r="A54" s="1">
        <v>792</v>
      </c>
      <c r="B54" s="2">
        <v>45373</v>
      </c>
      <c r="C54" s="1" t="s">
        <v>31</v>
      </c>
      <c r="D54" s="1" t="s">
        <v>48</v>
      </c>
      <c r="E54" s="1">
        <v>10</v>
      </c>
      <c r="F54" s="1">
        <v>22000</v>
      </c>
      <c r="G54" s="1">
        <v>220000</v>
      </c>
      <c r="H54" s="1">
        <v>51935</v>
      </c>
      <c r="I54" s="1" t="s">
        <v>15</v>
      </c>
      <c r="J54" s="1">
        <v>3</v>
      </c>
      <c r="K54" s="1" t="s">
        <v>15</v>
      </c>
      <c r="L54" s="1">
        <v>7</v>
      </c>
      <c r="M54" s="1" t="s">
        <v>20</v>
      </c>
      <c r="N54" s="5">
        <f>IF(Tabulka1[[#This Row],[E-shop]]="ano",1,0)</f>
        <v>0</v>
      </c>
      <c r="O54" s="5">
        <f>IF(Tabulka1[[#This Row],[Reklamace]]="ano",1,0)</f>
        <v>0</v>
      </c>
    </row>
    <row r="55" spans="1:15" ht="15.75" customHeight="1" x14ac:dyDescent="0.3">
      <c r="A55" s="1">
        <v>797</v>
      </c>
      <c r="B55" s="2">
        <v>45452</v>
      </c>
      <c r="C55" s="1" t="s">
        <v>36</v>
      </c>
      <c r="D55" s="1" t="s">
        <v>48</v>
      </c>
      <c r="E55" s="1">
        <v>10</v>
      </c>
      <c r="F55" s="1">
        <v>22000</v>
      </c>
      <c r="G55" s="1">
        <v>220000</v>
      </c>
      <c r="H55" s="1">
        <v>63518</v>
      </c>
      <c r="I55" s="1" t="s">
        <v>15</v>
      </c>
      <c r="J55" s="1">
        <v>7</v>
      </c>
      <c r="K55" s="1" t="s">
        <v>16</v>
      </c>
      <c r="L55" s="1">
        <v>4</v>
      </c>
      <c r="M55" s="1" t="s">
        <v>20</v>
      </c>
      <c r="N55" s="5">
        <f>IF(Tabulka1[[#This Row],[E-shop]]="ano",1,0)</f>
        <v>0</v>
      </c>
      <c r="O55" s="5">
        <f>IF(Tabulka1[[#This Row],[Reklamace]]="ano",1,0)</f>
        <v>1</v>
      </c>
    </row>
    <row r="56" spans="1:15" ht="15.75" customHeight="1" x14ac:dyDescent="0.3">
      <c r="A56" s="1">
        <v>156</v>
      </c>
      <c r="B56" s="2">
        <v>45523</v>
      </c>
      <c r="C56" s="1" t="s">
        <v>21</v>
      </c>
      <c r="D56" s="1" t="s">
        <v>28</v>
      </c>
      <c r="E56" s="1">
        <v>12</v>
      </c>
      <c r="F56" s="1">
        <v>18000</v>
      </c>
      <c r="G56" s="1">
        <v>216000</v>
      </c>
      <c r="H56" s="1">
        <v>60312</v>
      </c>
      <c r="I56" s="1" t="s">
        <v>16</v>
      </c>
      <c r="J56" s="1">
        <v>8</v>
      </c>
      <c r="K56" s="1" t="s">
        <v>16</v>
      </c>
      <c r="L56" s="1">
        <v>1</v>
      </c>
      <c r="M56" s="1" t="s">
        <v>20</v>
      </c>
      <c r="N56" s="5">
        <f>IF(Tabulka1[[#This Row],[E-shop]]="ano",1,0)</f>
        <v>1</v>
      </c>
      <c r="O56" s="5">
        <f>IF(Tabulka1[[#This Row],[Reklamace]]="ano",1,0)</f>
        <v>1</v>
      </c>
    </row>
    <row r="57" spans="1:15" ht="15.75" customHeight="1" x14ac:dyDescent="0.3">
      <c r="A57" s="1">
        <v>556</v>
      </c>
      <c r="B57" s="2">
        <v>45296</v>
      </c>
      <c r="C57" s="1" t="s">
        <v>23</v>
      </c>
      <c r="D57" s="1" t="s">
        <v>28</v>
      </c>
      <c r="E57" s="1">
        <v>12</v>
      </c>
      <c r="F57" s="1">
        <v>18000</v>
      </c>
      <c r="G57" s="1">
        <v>216000</v>
      </c>
      <c r="H57" s="1">
        <v>38443</v>
      </c>
      <c r="I57" s="1" t="s">
        <v>15</v>
      </c>
      <c r="J57" s="1">
        <v>8</v>
      </c>
      <c r="K57" s="1" t="s">
        <v>16</v>
      </c>
      <c r="L57" s="1">
        <v>2</v>
      </c>
      <c r="M57" s="1" t="s">
        <v>20</v>
      </c>
      <c r="N57" s="5">
        <f>IF(Tabulka1[[#This Row],[E-shop]]="ano",1,0)</f>
        <v>0</v>
      </c>
      <c r="O57" s="5">
        <f>IF(Tabulka1[[#This Row],[Reklamace]]="ano",1,0)</f>
        <v>1</v>
      </c>
    </row>
    <row r="58" spans="1:15" ht="15.75" customHeight="1" x14ac:dyDescent="0.3">
      <c r="A58" s="1">
        <v>621</v>
      </c>
      <c r="B58" s="2">
        <v>45319</v>
      </c>
      <c r="C58" s="1" t="s">
        <v>36</v>
      </c>
      <c r="D58" s="1" t="s">
        <v>28</v>
      </c>
      <c r="E58" s="1">
        <v>12</v>
      </c>
      <c r="F58" s="1">
        <v>18000</v>
      </c>
      <c r="G58" s="1">
        <v>216000</v>
      </c>
      <c r="H58" s="1">
        <v>51034</v>
      </c>
      <c r="I58" s="1" t="s">
        <v>16</v>
      </c>
      <c r="J58" s="1">
        <v>5</v>
      </c>
      <c r="K58" s="1" t="s">
        <v>16</v>
      </c>
      <c r="L58" s="1">
        <v>4</v>
      </c>
      <c r="M58" s="1" t="s">
        <v>20</v>
      </c>
      <c r="N58" s="5">
        <f>IF(Tabulka1[[#This Row],[E-shop]]="ano",1,0)</f>
        <v>1</v>
      </c>
      <c r="O58" s="5">
        <f>IF(Tabulka1[[#This Row],[Reklamace]]="ano",1,0)</f>
        <v>1</v>
      </c>
    </row>
    <row r="59" spans="1:15" ht="15.75" customHeight="1" x14ac:dyDescent="0.3">
      <c r="A59" s="1">
        <v>874</v>
      </c>
      <c r="B59" s="2">
        <v>46013</v>
      </c>
      <c r="C59" s="1" t="s">
        <v>13</v>
      </c>
      <c r="D59" s="1" t="s">
        <v>28</v>
      </c>
      <c r="E59" s="1">
        <v>12</v>
      </c>
      <c r="F59" s="1">
        <v>18000</v>
      </c>
      <c r="G59" s="1">
        <v>216000</v>
      </c>
      <c r="H59" s="1">
        <v>56895</v>
      </c>
      <c r="I59" s="1" t="s">
        <v>16</v>
      </c>
      <c r="J59" s="1">
        <v>4</v>
      </c>
      <c r="K59" s="1" t="s">
        <v>15</v>
      </c>
      <c r="L59" s="1">
        <v>6</v>
      </c>
      <c r="M59" s="1" t="s">
        <v>17</v>
      </c>
      <c r="N59" s="5">
        <f>IF(Tabulka1[[#This Row],[E-shop]]="ano",1,0)</f>
        <v>1</v>
      </c>
      <c r="O59" s="5">
        <f>IF(Tabulka1[[#This Row],[Reklamace]]="ano",1,0)</f>
        <v>0</v>
      </c>
    </row>
    <row r="60" spans="1:15" ht="15.75" customHeight="1" x14ac:dyDescent="0.3">
      <c r="A60" s="1">
        <v>989</v>
      </c>
      <c r="B60" s="2">
        <v>45368</v>
      </c>
      <c r="C60" s="1" t="s">
        <v>36</v>
      </c>
      <c r="D60" s="1" t="s">
        <v>28</v>
      </c>
      <c r="E60" s="1">
        <v>12</v>
      </c>
      <c r="F60" s="1">
        <v>18000</v>
      </c>
      <c r="G60" s="1">
        <v>216000</v>
      </c>
      <c r="H60" s="1">
        <v>47025</v>
      </c>
      <c r="I60" s="1" t="s">
        <v>16</v>
      </c>
      <c r="J60" s="1">
        <v>6</v>
      </c>
      <c r="K60" s="1" t="s">
        <v>15</v>
      </c>
      <c r="L60" s="1">
        <v>2</v>
      </c>
      <c r="M60" s="1" t="s">
        <v>20</v>
      </c>
      <c r="N60" s="5">
        <f>IF(Tabulka1[[#This Row],[E-shop]]="ano",1,0)</f>
        <v>1</v>
      </c>
      <c r="O60" s="5">
        <f>IF(Tabulka1[[#This Row],[Reklamace]]="ano",1,0)</f>
        <v>0</v>
      </c>
    </row>
    <row r="61" spans="1:15" ht="15.75" customHeight="1" x14ac:dyDescent="0.3">
      <c r="A61" s="1">
        <v>46</v>
      </c>
      <c r="B61" s="2">
        <v>45810</v>
      </c>
      <c r="C61" s="1" t="s">
        <v>21</v>
      </c>
      <c r="D61" s="1" t="s">
        <v>22</v>
      </c>
      <c r="E61" s="1">
        <v>14</v>
      </c>
      <c r="F61" s="1">
        <v>15000</v>
      </c>
      <c r="G61" s="1">
        <v>210000</v>
      </c>
      <c r="H61" s="1">
        <v>58968</v>
      </c>
      <c r="I61" s="1" t="s">
        <v>15</v>
      </c>
      <c r="J61" s="1">
        <v>7</v>
      </c>
      <c r="K61" s="1" t="s">
        <v>16</v>
      </c>
      <c r="L61" s="1">
        <v>1</v>
      </c>
      <c r="M61" s="1" t="s">
        <v>20</v>
      </c>
      <c r="N61" s="5">
        <f>IF(Tabulka1[[#This Row],[E-shop]]="ano",1,0)</f>
        <v>0</v>
      </c>
      <c r="O61" s="5">
        <f>IF(Tabulka1[[#This Row],[Reklamace]]="ano",1,0)</f>
        <v>1</v>
      </c>
    </row>
    <row r="62" spans="1:15" ht="15.75" customHeight="1" x14ac:dyDescent="0.3">
      <c r="A62" s="1">
        <v>495</v>
      </c>
      <c r="B62" s="2">
        <v>45308</v>
      </c>
      <c r="C62" s="1" t="s">
        <v>25</v>
      </c>
      <c r="D62" s="1" t="s">
        <v>22</v>
      </c>
      <c r="E62" s="1">
        <v>14</v>
      </c>
      <c r="F62" s="1">
        <v>15000</v>
      </c>
      <c r="G62" s="1">
        <v>210000</v>
      </c>
      <c r="H62" s="1">
        <v>46152</v>
      </c>
      <c r="I62" s="1" t="s">
        <v>15</v>
      </c>
      <c r="J62" s="1">
        <v>5</v>
      </c>
      <c r="K62" s="1" t="s">
        <v>15</v>
      </c>
      <c r="L62" s="1">
        <v>5</v>
      </c>
      <c r="M62" s="1" t="s">
        <v>20</v>
      </c>
      <c r="N62" s="5">
        <f>IF(Tabulka1[[#This Row],[E-shop]]="ano",1,0)</f>
        <v>0</v>
      </c>
      <c r="O62" s="5">
        <f>IF(Tabulka1[[#This Row],[Reklamace]]="ano",1,0)</f>
        <v>0</v>
      </c>
    </row>
    <row r="63" spans="1:15" ht="15.75" customHeight="1" x14ac:dyDescent="0.3">
      <c r="A63" s="1">
        <v>750</v>
      </c>
      <c r="B63" s="2">
        <v>45429</v>
      </c>
      <c r="C63" s="1" t="s">
        <v>13</v>
      </c>
      <c r="D63" s="1" t="s">
        <v>22</v>
      </c>
      <c r="E63" s="1">
        <v>14</v>
      </c>
      <c r="F63" s="1">
        <v>15000</v>
      </c>
      <c r="G63" s="1">
        <v>210000</v>
      </c>
      <c r="H63" s="1">
        <v>51886</v>
      </c>
      <c r="I63" s="1" t="s">
        <v>16</v>
      </c>
      <c r="J63" s="1">
        <v>9</v>
      </c>
      <c r="K63" s="1" t="s">
        <v>16</v>
      </c>
      <c r="L63" s="1">
        <v>1</v>
      </c>
      <c r="M63" s="1" t="s">
        <v>20</v>
      </c>
      <c r="N63" s="5">
        <f>IF(Tabulka1[[#This Row],[E-shop]]="ano",1,0)</f>
        <v>1</v>
      </c>
      <c r="O63" s="5">
        <f>IF(Tabulka1[[#This Row],[Reklamace]]="ano",1,0)</f>
        <v>1</v>
      </c>
    </row>
    <row r="64" spans="1:15" ht="15.75" customHeight="1" x14ac:dyDescent="0.3">
      <c r="A64" s="1">
        <v>138</v>
      </c>
      <c r="B64" s="2">
        <v>45909</v>
      </c>
      <c r="C64" s="1" t="s">
        <v>21</v>
      </c>
      <c r="D64" s="1" t="s">
        <v>47</v>
      </c>
      <c r="E64" s="1">
        <v>8</v>
      </c>
      <c r="F64" s="1">
        <v>25000</v>
      </c>
      <c r="G64" s="1">
        <v>200000</v>
      </c>
      <c r="H64" s="1">
        <v>57274</v>
      </c>
      <c r="I64" s="1" t="s">
        <v>15</v>
      </c>
      <c r="J64" s="1">
        <v>4</v>
      </c>
      <c r="K64" s="1" t="s">
        <v>15</v>
      </c>
      <c r="L64" s="1">
        <v>5</v>
      </c>
      <c r="M64" s="1" t="s">
        <v>20</v>
      </c>
      <c r="N64" s="5">
        <f>IF(Tabulka1[[#This Row],[E-shop]]="ano",1,0)</f>
        <v>0</v>
      </c>
      <c r="O64" s="5">
        <f>IF(Tabulka1[[#This Row],[Reklamace]]="ano",1,0)</f>
        <v>0</v>
      </c>
    </row>
    <row r="65" spans="1:15" ht="15.75" customHeight="1" x14ac:dyDescent="0.3">
      <c r="A65" s="1">
        <v>179</v>
      </c>
      <c r="B65" s="2">
        <v>45676</v>
      </c>
      <c r="C65" s="1" t="s">
        <v>36</v>
      </c>
      <c r="D65" s="1" t="s">
        <v>47</v>
      </c>
      <c r="E65" s="1">
        <v>8</v>
      </c>
      <c r="F65" s="1">
        <v>25000</v>
      </c>
      <c r="G65" s="1">
        <v>200000</v>
      </c>
      <c r="H65" s="1">
        <v>35102</v>
      </c>
      <c r="I65" s="1" t="s">
        <v>16</v>
      </c>
      <c r="J65" s="1">
        <v>3</v>
      </c>
      <c r="K65" s="1" t="s">
        <v>15</v>
      </c>
      <c r="L65" s="1">
        <v>7</v>
      </c>
      <c r="M65" s="1" t="s">
        <v>20</v>
      </c>
      <c r="N65" s="5">
        <f>IF(Tabulka1[[#This Row],[E-shop]]="ano",1,0)</f>
        <v>1</v>
      </c>
      <c r="O65" s="5">
        <f>IF(Tabulka1[[#This Row],[Reklamace]]="ano",1,0)</f>
        <v>0</v>
      </c>
    </row>
    <row r="66" spans="1:15" ht="15.75" customHeight="1" x14ac:dyDescent="0.3">
      <c r="A66" s="1">
        <v>190</v>
      </c>
      <c r="B66" s="2">
        <v>45392</v>
      </c>
      <c r="C66" s="1" t="s">
        <v>31</v>
      </c>
      <c r="D66" s="1" t="s">
        <v>29</v>
      </c>
      <c r="E66" s="1">
        <v>10</v>
      </c>
      <c r="F66" s="1">
        <v>20000</v>
      </c>
      <c r="G66" s="1">
        <v>200000</v>
      </c>
      <c r="H66" s="1">
        <v>31245</v>
      </c>
      <c r="I66" s="1" t="s">
        <v>16</v>
      </c>
      <c r="J66" s="1">
        <v>4</v>
      </c>
      <c r="K66" s="1" t="s">
        <v>15</v>
      </c>
      <c r="L66" s="1">
        <v>7</v>
      </c>
      <c r="M66" s="1" t="s">
        <v>20</v>
      </c>
      <c r="N66" s="5">
        <f>IF(Tabulka1[[#This Row],[E-shop]]="ano",1,0)</f>
        <v>1</v>
      </c>
      <c r="O66" s="5">
        <f>IF(Tabulka1[[#This Row],[Reklamace]]="ano",1,0)</f>
        <v>0</v>
      </c>
    </row>
    <row r="67" spans="1:15" ht="15.75" customHeight="1" x14ac:dyDescent="0.3">
      <c r="A67" s="1">
        <v>293</v>
      </c>
      <c r="B67" s="2">
        <v>45960</v>
      </c>
      <c r="C67" s="1" t="s">
        <v>31</v>
      </c>
      <c r="D67" s="1" t="s">
        <v>47</v>
      </c>
      <c r="E67" s="1">
        <v>8</v>
      </c>
      <c r="F67" s="1">
        <v>25000</v>
      </c>
      <c r="G67" s="1">
        <v>200000</v>
      </c>
      <c r="H67" s="1">
        <v>39766</v>
      </c>
      <c r="I67" s="1" t="s">
        <v>16</v>
      </c>
      <c r="J67" s="1">
        <v>6</v>
      </c>
      <c r="K67" s="1" t="s">
        <v>16</v>
      </c>
      <c r="L67" s="1">
        <v>4</v>
      </c>
      <c r="M67" s="1" t="s">
        <v>20</v>
      </c>
      <c r="N67" s="5">
        <f>IF(Tabulka1[[#This Row],[E-shop]]="ano",1,0)</f>
        <v>1</v>
      </c>
      <c r="O67" s="5">
        <f>IF(Tabulka1[[#This Row],[Reklamace]]="ano",1,0)</f>
        <v>1</v>
      </c>
    </row>
    <row r="68" spans="1:15" ht="15.75" customHeight="1" x14ac:dyDescent="0.3">
      <c r="A68" s="1">
        <v>383</v>
      </c>
      <c r="B68" s="2">
        <v>45981</v>
      </c>
      <c r="C68" s="1" t="s">
        <v>21</v>
      </c>
      <c r="D68" s="1" t="s">
        <v>47</v>
      </c>
      <c r="E68" s="1">
        <v>8</v>
      </c>
      <c r="F68" s="1">
        <v>25000</v>
      </c>
      <c r="G68" s="1">
        <v>200000</v>
      </c>
      <c r="H68" s="1">
        <v>36457</v>
      </c>
      <c r="I68" s="1" t="s">
        <v>16</v>
      </c>
      <c r="J68" s="1">
        <v>4</v>
      </c>
      <c r="K68" s="1" t="s">
        <v>15</v>
      </c>
      <c r="L68" s="1">
        <v>7</v>
      </c>
      <c r="M68" s="1" t="s">
        <v>20</v>
      </c>
      <c r="N68" s="5">
        <f>IF(Tabulka1[[#This Row],[E-shop]]="ano",1,0)</f>
        <v>1</v>
      </c>
      <c r="O68" s="5">
        <f>IF(Tabulka1[[#This Row],[Reklamace]]="ano",1,0)</f>
        <v>0</v>
      </c>
    </row>
    <row r="69" spans="1:15" ht="15.75" customHeight="1" x14ac:dyDescent="0.3">
      <c r="A69" s="1">
        <v>540</v>
      </c>
      <c r="B69" s="2">
        <v>45618</v>
      </c>
      <c r="C69" s="1" t="s">
        <v>31</v>
      </c>
      <c r="D69" s="1" t="s">
        <v>47</v>
      </c>
      <c r="E69" s="1">
        <v>8</v>
      </c>
      <c r="F69" s="1">
        <v>25000</v>
      </c>
      <c r="G69" s="1">
        <v>200000</v>
      </c>
      <c r="H69" s="1">
        <v>53360</v>
      </c>
      <c r="I69" s="1" t="s">
        <v>16</v>
      </c>
      <c r="J69" s="1">
        <v>3</v>
      </c>
      <c r="K69" s="1" t="s">
        <v>15</v>
      </c>
      <c r="L69" s="1">
        <v>6</v>
      </c>
      <c r="M69" s="1" t="s">
        <v>20</v>
      </c>
      <c r="N69" s="5">
        <f>IF(Tabulka1[[#This Row],[E-shop]]="ano",1,0)</f>
        <v>1</v>
      </c>
      <c r="O69" s="5">
        <f>IF(Tabulka1[[#This Row],[Reklamace]]="ano",1,0)</f>
        <v>0</v>
      </c>
    </row>
    <row r="70" spans="1:15" ht="15.75" customHeight="1" x14ac:dyDescent="0.3">
      <c r="A70" s="1">
        <v>629</v>
      </c>
      <c r="B70" s="2">
        <v>45365</v>
      </c>
      <c r="C70" s="1" t="s">
        <v>25</v>
      </c>
      <c r="D70" s="1" t="s">
        <v>47</v>
      </c>
      <c r="E70" s="1">
        <v>8</v>
      </c>
      <c r="F70" s="1">
        <v>25000</v>
      </c>
      <c r="G70" s="1">
        <v>200000</v>
      </c>
      <c r="H70" s="1">
        <v>51266</v>
      </c>
      <c r="I70" s="1" t="s">
        <v>15</v>
      </c>
      <c r="J70" s="1">
        <v>8</v>
      </c>
      <c r="K70" s="1" t="s">
        <v>16</v>
      </c>
      <c r="L70" s="1">
        <v>1</v>
      </c>
      <c r="M70" s="1" t="s">
        <v>17</v>
      </c>
      <c r="N70" s="5">
        <f>IF(Tabulka1[[#This Row],[E-shop]]="ano",1,0)</f>
        <v>0</v>
      </c>
      <c r="O70" s="5">
        <f>IF(Tabulka1[[#This Row],[Reklamace]]="ano",1,0)</f>
        <v>1</v>
      </c>
    </row>
    <row r="71" spans="1:15" ht="15.75" customHeight="1" x14ac:dyDescent="0.3">
      <c r="A71" s="1">
        <v>993</v>
      </c>
      <c r="B71" s="2">
        <v>45697</v>
      </c>
      <c r="C71" s="1" t="s">
        <v>18</v>
      </c>
      <c r="D71" s="1" t="s">
        <v>47</v>
      </c>
      <c r="E71" s="1">
        <v>8</v>
      </c>
      <c r="F71" s="1">
        <v>25000</v>
      </c>
      <c r="G71" s="1">
        <v>200000</v>
      </c>
      <c r="H71" s="1">
        <v>40811</v>
      </c>
      <c r="I71" s="1" t="s">
        <v>16</v>
      </c>
      <c r="J71" s="1">
        <v>2</v>
      </c>
      <c r="K71" s="1" t="s">
        <v>15</v>
      </c>
      <c r="L71" s="1">
        <v>7</v>
      </c>
      <c r="M71" s="1" t="s">
        <v>20</v>
      </c>
      <c r="N71" s="5">
        <f>IF(Tabulka1[[#This Row],[E-shop]]="ano",1,0)</f>
        <v>1</v>
      </c>
      <c r="O71" s="5">
        <f>IF(Tabulka1[[#This Row],[Reklamace]]="ano",1,0)</f>
        <v>0</v>
      </c>
    </row>
    <row r="72" spans="1:15" ht="15.75" customHeight="1" x14ac:dyDescent="0.3">
      <c r="A72" s="1">
        <v>743</v>
      </c>
      <c r="B72" s="2">
        <v>45662</v>
      </c>
      <c r="C72" s="1" t="s">
        <v>23</v>
      </c>
      <c r="D72" s="1" t="s">
        <v>48</v>
      </c>
      <c r="E72" s="1">
        <v>9</v>
      </c>
      <c r="F72" s="1">
        <v>22000</v>
      </c>
      <c r="G72" s="1">
        <v>198000</v>
      </c>
      <c r="H72" s="1">
        <v>39075</v>
      </c>
      <c r="I72" s="1" t="s">
        <v>15</v>
      </c>
      <c r="J72" s="1">
        <v>7</v>
      </c>
      <c r="K72" s="1" t="s">
        <v>16</v>
      </c>
      <c r="L72" s="1">
        <v>3</v>
      </c>
      <c r="M72" s="1" t="s">
        <v>17</v>
      </c>
      <c r="N72" s="5">
        <f>IF(Tabulka1[[#This Row],[E-shop]]="ano",1,0)</f>
        <v>0</v>
      </c>
      <c r="O72" s="5">
        <f>IF(Tabulka1[[#This Row],[Reklamace]]="ano",1,0)</f>
        <v>1</v>
      </c>
    </row>
    <row r="73" spans="1:15" ht="15.75" customHeight="1" x14ac:dyDescent="0.3">
      <c r="A73" s="1">
        <v>973</v>
      </c>
      <c r="B73" s="2">
        <v>45669</v>
      </c>
      <c r="C73" s="1" t="s">
        <v>25</v>
      </c>
      <c r="D73" s="1" t="s">
        <v>28</v>
      </c>
      <c r="E73" s="1">
        <v>11</v>
      </c>
      <c r="F73" s="1">
        <v>18000</v>
      </c>
      <c r="G73" s="1">
        <v>198000</v>
      </c>
      <c r="H73" s="1">
        <v>43926</v>
      </c>
      <c r="I73" s="1" t="s">
        <v>15</v>
      </c>
      <c r="J73" s="1">
        <v>9</v>
      </c>
      <c r="K73" s="1" t="s">
        <v>16</v>
      </c>
      <c r="L73" s="1">
        <v>1</v>
      </c>
      <c r="M73" s="1" t="s">
        <v>20</v>
      </c>
      <c r="N73" s="5">
        <f>IF(Tabulka1[[#This Row],[E-shop]]="ano",1,0)</f>
        <v>0</v>
      </c>
      <c r="O73" s="5">
        <f>IF(Tabulka1[[#This Row],[Reklamace]]="ano",1,0)</f>
        <v>1</v>
      </c>
    </row>
    <row r="74" spans="1:15" ht="15.75" customHeight="1" x14ac:dyDescent="0.3">
      <c r="A74" s="1">
        <v>126</v>
      </c>
      <c r="B74" s="2">
        <v>45560</v>
      </c>
      <c r="C74" s="1" t="s">
        <v>36</v>
      </c>
      <c r="D74" s="1" t="s">
        <v>40</v>
      </c>
      <c r="E74" s="1">
        <v>14</v>
      </c>
      <c r="F74" s="1">
        <v>14000</v>
      </c>
      <c r="G74" s="1">
        <v>196000</v>
      </c>
      <c r="H74" s="1">
        <v>38773</v>
      </c>
      <c r="I74" s="1" t="s">
        <v>15</v>
      </c>
      <c r="J74" s="1">
        <v>7</v>
      </c>
      <c r="K74" s="1" t="s">
        <v>16</v>
      </c>
      <c r="L74" s="1">
        <v>4</v>
      </c>
      <c r="M74" s="1" t="s">
        <v>20</v>
      </c>
      <c r="N74" s="5">
        <f>IF(Tabulka1[[#This Row],[E-shop]]="ano",1,0)</f>
        <v>0</v>
      </c>
      <c r="O74" s="5">
        <f>IF(Tabulka1[[#This Row],[Reklamace]]="ano",1,0)</f>
        <v>1</v>
      </c>
    </row>
    <row r="75" spans="1:15" ht="15.75" customHeight="1" x14ac:dyDescent="0.3">
      <c r="A75" s="1">
        <v>164</v>
      </c>
      <c r="B75" s="2">
        <v>45801</v>
      </c>
      <c r="C75" s="1" t="s">
        <v>18</v>
      </c>
      <c r="D75" s="1" t="s">
        <v>40</v>
      </c>
      <c r="E75" s="1">
        <v>14</v>
      </c>
      <c r="F75" s="1">
        <v>14000</v>
      </c>
      <c r="G75" s="1">
        <v>196000</v>
      </c>
      <c r="H75" s="1">
        <v>36559</v>
      </c>
      <c r="I75" s="1" t="s">
        <v>15</v>
      </c>
      <c r="J75" s="1">
        <v>4</v>
      </c>
      <c r="K75" s="1" t="s">
        <v>15</v>
      </c>
      <c r="L75" s="1">
        <v>6</v>
      </c>
      <c r="M75" s="1" t="s">
        <v>20</v>
      </c>
      <c r="N75" s="5">
        <f>IF(Tabulka1[[#This Row],[E-shop]]="ano",1,0)</f>
        <v>0</v>
      </c>
      <c r="O75" s="5">
        <f>IF(Tabulka1[[#This Row],[Reklamace]]="ano",1,0)</f>
        <v>0</v>
      </c>
    </row>
    <row r="76" spans="1:15" ht="15.75" customHeight="1" x14ac:dyDescent="0.3">
      <c r="A76" s="1">
        <v>148</v>
      </c>
      <c r="B76" s="2">
        <v>45832</v>
      </c>
      <c r="C76" s="1" t="s">
        <v>23</v>
      </c>
      <c r="D76" s="1" t="s">
        <v>22</v>
      </c>
      <c r="E76" s="1">
        <v>13</v>
      </c>
      <c r="F76" s="1">
        <v>15000</v>
      </c>
      <c r="G76" s="1">
        <v>195000</v>
      </c>
      <c r="H76" s="1">
        <v>56867</v>
      </c>
      <c r="I76" s="1" t="s">
        <v>15</v>
      </c>
      <c r="J76" s="1">
        <v>8</v>
      </c>
      <c r="K76" s="1" t="s">
        <v>15</v>
      </c>
      <c r="L76" s="1">
        <v>2</v>
      </c>
      <c r="M76" s="1" t="s">
        <v>20</v>
      </c>
      <c r="N76" s="5">
        <f>IF(Tabulka1[[#This Row],[E-shop]]="ano",1,0)</f>
        <v>0</v>
      </c>
      <c r="O76" s="5">
        <f>IF(Tabulka1[[#This Row],[Reklamace]]="ano",1,0)</f>
        <v>0</v>
      </c>
    </row>
    <row r="77" spans="1:15" ht="15.75" customHeight="1" x14ac:dyDescent="0.3">
      <c r="A77" s="1">
        <v>289</v>
      </c>
      <c r="B77" s="2">
        <v>45833</v>
      </c>
      <c r="C77" s="1" t="s">
        <v>23</v>
      </c>
      <c r="D77" s="1" t="s">
        <v>22</v>
      </c>
      <c r="E77" s="1">
        <v>13</v>
      </c>
      <c r="F77" s="1">
        <v>15000</v>
      </c>
      <c r="G77" s="1">
        <v>195000</v>
      </c>
      <c r="H77" s="1">
        <v>48081</v>
      </c>
      <c r="I77" s="1" t="s">
        <v>16</v>
      </c>
      <c r="J77" s="1">
        <v>6</v>
      </c>
      <c r="K77" s="1" t="s">
        <v>15</v>
      </c>
      <c r="L77" s="1">
        <v>3</v>
      </c>
      <c r="M77" s="1" t="s">
        <v>20</v>
      </c>
      <c r="N77" s="5">
        <f>IF(Tabulka1[[#This Row],[E-shop]]="ano",1,0)</f>
        <v>1</v>
      </c>
      <c r="O77" s="5">
        <f>IF(Tabulka1[[#This Row],[Reklamace]]="ano",1,0)</f>
        <v>0</v>
      </c>
    </row>
    <row r="78" spans="1:15" ht="15.75" customHeight="1" x14ac:dyDescent="0.3">
      <c r="A78" s="1">
        <v>308</v>
      </c>
      <c r="B78" s="2">
        <v>45632</v>
      </c>
      <c r="C78" s="1" t="s">
        <v>25</v>
      </c>
      <c r="D78" s="1" t="s">
        <v>22</v>
      </c>
      <c r="E78" s="1">
        <v>13</v>
      </c>
      <c r="F78" s="1">
        <v>15000</v>
      </c>
      <c r="G78" s="1">
        <v>195000</v>
      </c>
      <c r="H78" s="1">
        <v>55085</v>
      </c>
      <c r="I78" s="1" t="s">
        <v>15</v>
      </c>
      <c r="J78" s="1">
        <v>9</v>
      </c>
      <c r="K78" s="1" t="s">
        <v>16</v>
      </c>
      <c r="L78" s="1">
        <v>1</v>
      </c>
      <c r="M78" s="1" t="s">
        <v>17</v>
      </c>
      <c r="N78" s="5">
        <f>IF(Tabulka1[[#This Row],[E-shop]]="ano",1,0)</f>
        <v>0</v>
      </c>
      <c r="O78" s="5">
        <f>IF(Tabulka1[[#This Row],[Reklamace]]="ano",1,0)</f>
        <v>1</v>
      </c>
    </row>
    <row r="79" spans="1:15" ht="15.75" customHeight="1" x14ac:dyDescent="0.3">
      <c r="A79" s="1">
        <v>318</v>
      </c>
      <c r="B79" s="2">
        <v>45650</v>
      </c>
      <c r="C79" s="1" t="s">
        <v>21</v>
      </c>
      <c r="D79" s="1" t="s">
        <v>22</v>
      </c>
      <c r="E79" s="1">
        <v>13</v>
      </c>
      <c r="F79" s="1">
        <v>15000</v>
      </c>
      <c r="G79" s="1">
        <v>195000</v>
      </c>
      <c r="H79" s="1">
        <v>53707</v>
      </c>
      <c r="I79" s="1" t="s">
        <v>16</v>
      </c>
      <c r="J79" s="1">
        <v>8</v>
      </c>
      <c r="K79" s="1" t="s">
        <v>15</v>
      </c>
      <c r="L79" s="1">
        <v>1</v>
      </c>
      <c r="M79" s="1" t="s">
        <v>20</v>
      </c>
      <c r="N79" s="5">
        <f>IF(Tabulka1[[#This Row],[E-shop]]="ano",1,0)</f>
        <v>1</v>
      </c>
      <c r="O79" s="5">
        <f>IF(Tabulka1[[#This Row],[Reklamace]]="ano",1,0)</f>
        <v>0</v>
      </c>
    </row>
    <row r="80" spans="1:15" ht="15.75" customHeight="1" x14ac:dyDescent="0.3">
      <c r="A80" s="1">
        <v>774</v>
      </c>
      <c r="B80" s="2">
        <v>45729</v>
      </c>
      <c r="C80" s="1" t="s">
        <v>13</v>
      </c>
      <c r="D80" s="1" t="s">
        <v>22</v>
      </c>
      <c r="E80" s="1">
        <v>13</v>
      </c>
      <c r="F80" s="1">
        <v>15000</v>
      </c>
      <c r="G80" s="1">
        <v>195000</v>
      </c>
      <c r="H80" s="1">
        <v>32909</v>
      </c>
      <c r="I80" s="1" t="s">
        <v>15</v>
      </c>
      <c r="J80" s="1">
        <v>5</v>
      </c>
      <c r="K80" s="1" t="s">
        <v>16</v>
      </c>
      <c r="L80" s="1">
        <v>4</v>
      </c>
      <c r="M80" s="1" t="s">
        <v>20</v>
      </c>
      <c r="N80" s="5">
        <f>IF(Tabulka1[[#This Row],[E-shop]]="ano",1,0)</f>
        <v>0</v>
      </c>
      <c r="O80" s="5">
        <f>IF(Tabulka1[[#This Row],[Reklamace]]="ano",1,0)</f>
        <v>1</v>
      </c>
    </row>
    <row r="81" spans="1:15" ht="15.75" customHeight="1" x14ac:dyDescent="0.3">
      <c r="A81" s="1">
        <v>788</v>
      </c>
      <c r="B81" s="2">
        <v>45530</v>
      </c>
      <c r="C81" s="1" t="s">
        <v>21</v>
      </c>
      <c r="D81" s="1" t="s">
        <v>22</v>
      </c>
      <c r="E81" s="1">
        <v>13</v>
      </c>
      <c r="F81" s="1">
        <v>15000</v>
      </c>
      <c r="G81" s="1">
        <v>195000</v>
      </c>
      <c r="H81" s="1">
        <v>29320</v>
      </c>
      <c r="I81" s="1" t="s">
        <v>16</v>
      </c>
      <c r="J81" s="1">
        <v>9</v>
      </c>
      <c r="K81" s="1" t="s">
        <v>16</v>
      </c>
      <c r="L81" s="1">
        <v>1</v>
      </c>
      <c r="M81" s="1" t="s">
        <v>17</v>
      </c>
      <c r="N81" s="5">
        <f>IF(Tabulka1[[#This Row],[E-shop]]="ano",1,0)</f>
        <v>1</v>
      </c>
      <c r="O81" s="5">
        <f>IF(Tabulka1[[#This Row],[Reklamace]]="ano",1,0)</f>
        <v>1</v>
      </c>
    </row>
    <row r="82" spans="1:15" ht="15.75" customHeight="1" x14ac:dyDescent="0.3">
      <c r="A82" s="1">
        <v>178</v>
      </c>
      <c r="B82" s="2">
        <v>45351</v>
      </c>
      <c r="C82" s="1" t="s">
        <v>23</v>
      </c>
      <c r="D82" s="1" t="s">
        <v>40</v>
      </c>
      <c r="E82" s="1">
        <v>13</v>
      </c>
      <c r="F82" s="1">
        <v>14000</v>
      </c>
      <c r="G82" s="1">
        <v>182000</v>
      </c>
      <c r="H82" s="1">
        <v>40668</v>
      </c>
      <c r="I82" s="1" t="s">
        <v>16</v>
      </c>
      <c r="J82" s="1">
        <v>6</v>
      </c>
      <c r="K82" s="1" t="s">
        <v>16</v>
      </c>
      <c r="L82" s="1">
        <v>2</v>
      </c>
      <c r="M82" s="1" t="s">
        <v>20</v>
      </c>
      <c r="N82" s="5">
        <f>IF(Tabulka1[[#This Row],[E-shop]]="ano",1,0)</f>
        <v>1</v>
      </c>
      <c r="O82" s="5">
        <f>IF(Tabulka1[[#This Row],[Reklamace]]="ano",1,0)</f>
        <v>1</v>
      </c>
    </row>
    <row r="83" spans="1:15" ht="15.75" customHeight="1" x14ac:dyDescent="0.3">
      <c r="A83" s="1">
        <v>382</v>
      </c>
      <c r="B83" s="2">
        <v>45800</v>
      </c>
      <c r="C83" s="1" t="s">
        <v>13</v>
      </c>
      <c r="D83" s="1" t="s">
        <v>40</v>
      </c>
      <c r="E83" s="1">
        <v>13</v>
      </c>
      <c r="F83" s="1">
        <v>14000</v>
      </c>
      <c r="G83" s="1">
        <v>182000</v>
      </c>
      <c r="H83" s="1">
        <v>30638</v>
      </c>
      <c r="I83" s="1" t="s">
        <v>16</v>
      </c>
      <c r="J83" s="1">
        <v>6</v>
      </c>
      <c r="K83" s="1" t="s">
        <v>16</v>
      </c>
      <c r="L83" s="1">
        <v>4</v>
      </c>
      <c r="M83" s="1" t="s">
        <v>20</v>
      </c>
      <c r="N83" s="5">
        <f>IF(Tabulka1[[#This Row],[E-shop]]="ano",1,0)</f>
        <v>1</v>
      </c>
      <c r="O83" s="5">
        <f>IF(Tabulka1[[#This Row],[Reklamace]]="ano",1,0)</f>
        <v>1</v>
      </c>
    </row>
    <row r="84" spans="1:15" ht="15.75" customHeight="1" x14ac:dyDescent="0.3">
      <c r="A84" s="1">
        <v>472</v>
      </c>
      <c r="B84" s="2">
        <v>45604</v>
      </c>
      <c r="C84" s="1" t="s">
        <v>13</v>
      </c>
      <c r="D84" s="1" t="s">
        <v>40</v>
      </c>
      <c r="E84" s="1">
        <v>13</v>
      </c>
      <c r="F84" s="1">
        <v>14000</v>
      </c>
      <c r="G84" s="1">
        <v>182000</v>
      </c>
      <c r="H84" s="1">
        <v>40366</v>
      </c>
      <c r="I84" s="1" t="s">
        <v>15</v>
      </c>
      <c r="J84" s="1">
        <v>4</v>
      </c>
      <c r="K84" s="1" t="s">
        <v>16</v>
      </c>
      <c r="L84" s="1">
        <v>4</v>
      </c>
      <c r="M84" s="1" t="s">
        <v>20</v>
      </c>
      <c r="N84" s="5">
        <f>IF(Tabulka1[[#This Row],[E-shop]]="ano",1,0)</f>
        <v>0</v>
      </c>
      <c r="O84" s="5">
        <f>IF(Tabulka1[[#This Row],[Reklamace]]="ano",1,0)</f>
        <v>1</v>
      </c>
    </row>
    <row r="85" spans="1:15" ht="15.75" customHeight="1" x14ac:dyDescent="0.3">
      <c r="A85" s="1">
        <v>848</v>
      </c>
      <c r="B85" s="2">
        <v>45922</v>
      </c>
      <c r="C85" s="1" t="s">
        <v>23</v>
      </c>
      <c r="D85" s="1" t="s">
        <v>40</v>
      </c>
      <c r="E85" s="1">
        <v>13</v>
      </c>
      <c r="F85" s="1">
        <v>14000</v>
      </c>
      <c r="G85" s="1">
        <v>182000</v>
      </c>
      <c r="H85" s="1">
        <v>29563</v>
      </c>
      <c r="I85" s="1" t="s">
        <v>15</v>
      </c>
      <c r="J85" s="1">
        <v>8</v>
      </c>
      <c r="K85" s="1" t="s">
        <v>15</v>
      </c>
      <c r="L85" s="1">
        <v>2</v>
      </c>
      <c r="M85" s="1" t="s">
        <v>17</v>
      </c>
      <c r="N85" s="5">
        <f>IF(Tabulka1[[#This Row],[E-shop]]="ano",1,0)</f>
        <v>0</v>
      </c>
      <c r="O85" s="5">
        <f>IF(Tabulka1[[#This Row],[Reklamace]]="ano",1,0)</f>
        <v>0</v>
      </c>
    </row>
    <row r="86" spans="1:15" ht="15.75" customHeight="1" x14ac:dyDescent="0.3">
      <c r="A86" s="1">
        <v>224</v>
      </c>
      <c r="B86" s="2">
        <v>45459</v>
      </c>
      <c r="C86" s="1" t="s">
        <v>23</v>
      </c>
      <c r="D86" s="1" t="s">
        <v>22</v>
      </c>
      <c r="E86" s="1">
        <v>12</v>
      </c>
      <c r="F86" s="1">
        <v>15000</v>
      </c>
      <c r="G86" s="1">
        <v>180000</v>
      </c>
      <c r="H86" s="1">
        <v>27524</v>
      </c>
      <c r="I86" s="1" t="s">
        <v>16</v>
      </c>
      <c r="J86" s="1">
        <v>8</v>
      </c>
      <c r="K86" s="1" t="s">
        <v>16</v>
      </c>
      <c r="L86" s="1">
        <v>1</v>
      </c>
      <c r="M86" s="1" t="s">
        <v>20</v>
      </c>
      <c r="N86" s="5">
        <f>IF(Tabulka1[[#This Row],[E-shop]]="ano",1,0)</f>
        <v>1</v>
      </c>
      <c r="O86" s="5">
        <f>IF(Tabulka1[[#This Row],[Reklamace]]="ano",1,0)</f>
        <v>1</v>
      </c>
    </row>
    <row r="87" spans="1:15" ht="15.75" customHeight="1" x14ac:dyDescent="0.3">
      <c r="A87" s="1">
        <v>366</v>
      </c>
      <c r="B87" s="2">
        <v>45943</v>
      </c>
      <c r="C87" s="1" t="s">
        <v>13</v>
      </c>
      <c r="D87" s="1" t="s">
        <v>22</v>
      </c>
      <c r="E87" s="1">
        <v>12</v>
      </c>
      <c r="F87" s="1">
        <v>15000</v>
      </c>
      <c r="G87" s="1">
        <v>180000</v>
      </c>
      <c r="H87" s="1">
        <v>28641</v>
      </c>
      <c r="I87" s="1" t="s">
        <v>16</v>
      </c>
      <c r="J87" s="1">
        <v>5</v>
      </c>
      <c r="K87" s="1" t="s">
        <v>15</v>
      </c>
      <c r="L87" s="1">
        <v>3</v>
      </c>
      <c r="M87" s="1" t="s">
        <v>17</v>
      </c>
      <c r="N87" s="5">
        <f>IF(Tabulka1[[#This Row],[E-shop]]="ano",1,0)</f>
        <v>1</v>
      </c>
      <c r="O87" s="5">
        <f>IF(Tabulka1[[#This Row],[Reklamace]]="ano",1,0)</f>
        <v>0</v>
      </c>
    </row>
    <row r="88" spans="1:15" ht="15.75" customHeight="1" x14ac:dyDescent="0.3">
      <c r="A88" s="1">
        <v>490</v>
      </c>
      <c r="B88" s="2">
        <v>45308</v>
      </c>
      <c r="C88" s="1" t="s">
        <v>31</v>
      </c>
      <c r="D88" s="1" t="s">
        <v>28</v>
      </c>
      <c r="E88" s="1">
        <v>10</v>
      </c>
      <c r="F88" s="1">
        <v>18000</v>
      </c>
      <c r="G88" s="1">
        <v>180000</v>
      </c>
      <c r="H88" s="1">
        <v>46064</v>
      </c>
      <c r="I88" s="1" t="s">
        <v>16</v>
      </c>
      <c r="J88" s="1">
        <v>6</v>
      </c>
      <c r="K88" s="1" t="s">
        <v>15</v>
      </c>
      <c r="L88" s="1">
        <v>5</v>
      </c>
      <c r="M88" s="1" t="s">
        <v>20</v>
      </c>
      <c r="N88" s="5">
        <f>IF(Tabulka1[[#This Row],[E-shop]]="ano",1,0)</f>
        <v>1</v>
      </c>
      <c r="O88" s="5">
        <f>IF(Tabulka1[[#This Row],[Reklamace]]="ano",1,0)</f>
        <v>0</v>
      </c>
    </row>
    <row r="89" spans="1:15" ht="15.75" customHeight="1" x14ac:dyDescent="0.3">
      <c r="A89" s="1">
        <v>611</v>
      </c>
      <c r="B89" s="2">
        <v>45867</v>
      </c>
      <c r="C89" s="1" t="s">
        <v>18</v>
      </c>
      <c r="D89" s="1" t="s">
        <v>29</v>
      </c>
      <c r="E89" s="1">
        <v>9</v>
      </c>
      <c r="F89" s="1">
        <v>20000</v>
      </c>
      <c r="G89" s="1">
        <v>180000</v>
      </c>
      <c r="H89" s="1">
        <v>37516</v>
      </c>
      <c r="I89" s="1" t="s">
        <v>16</v>
      </c>
      <c r="J89" s="1">
        <v>5</v>
      </c>
      <c r="K89" s="1" t="s">
        <v>16</v>
      </c>
      <c r="L89" s="1">
        <v>4</v>
      </c>
      <c r="M89" s="1" t="s">
        <v>20</v>
      </c>
      <c r="N89" s="5">
        <f>IF(Tabulka1[[#This Row],[E-shop]]="ano",1,0)</f>
        <v>1</v>
      </c>
      <c r="O89" s="5">
        <f>IF(Tabulka1[[#This Row],[Reklamace]]="ano",1,0)</f>
        <v>1</v>
      </c>
    </row>
    <row r="90" spans="1:15" ht="15.75" customHeight="1" x14ac:dyDescent="0.3">
      <c r="A90" s="1">
        <v>803</v>
      </c>
      <c r="B90" s="2">
        <v>45877</v>
      </c>
      <c r="C90" s="1" t="s">
        <v>25</v>
      </c>
      <c r="D90" s="1" t="s">
        <v>22</v>
      </c>
      <c r="E90" s="1">
        <v>12</v>
      </c>
      <c r="F90" s="1">
        <v>15000</v>
      </c>
      <c r="G90" s="1">
        <v>180000</v>
      </c>
      <c r="H90" s="1">
        <v>44887</v>
      </c>
      <c r="I90" s="1" t="s">
        <v>16</v>
      </c>
      <c r="J90" s="1">
        <v>7</v>
      </c>
      <c r="K90" s="1" t="s">
        <v>16</v>
      </c>
      <c r="L90" s="1">
        <v>3</v>
      </c>
      <c r="M90" s="1" t="s">
        <v>20</v>
      </c>
      <c r="N90" s="5">
        <f>IF(Tabulka1[[#This Row],[E-shop]]="ano",1,0)</f>
        <v>1</v>
      </c>
      <c r="O90" s="5">
        <f>IF(Tabulka1[[#This Row],[Reklamace]]="ano",1,0)</f>
        <v>1</v>
      </c>
    </row>
    <row r="91" spans="1:15" ht="15.75" customHeight="1" x14ac:dyDescent="0.3">
      <c r="A91" s="1">
        <v>844</v>
      </c>
      <c r="B91" s="2">
        <v>45385</v>
      </c>
      <c r="C91" s="1" t="s">
        <v>18</v>
      </c>
      <c r="D91" s="1" t="s">
        <v>28</v>
      </c>
      <c r="E91" s="1">
        <v>10</v>
      </c>
      <c r="F91" s="1">
        <v>18000</v>
      </c>
      <c r="G91" s="1">
        <v>180000</v>
      </c>
      <c r="H91" s="1">
        <v>44171</v>
      </c>
      <c r="I91" s="1" t="s">
        <v>15</v>
      </c>
      <c r="J91" s="1">
        <v>5</v>
      </c>
      <c r="K91" s="1" t="s">
        <v>15</v>
      </c>
      <c r="L91" s="1">
        <v>6</v>
      </c>
      <c r="M91" s="1" t="s">
        <v>17</v>
      </c>
      <c r="N91" s="5">
        <f>IF(Tabulka1[[#This Row],[E-shop]]="ano",1,0)</f>
        <v>0</v>
      </c>
      <c r="O91" s="5">
        <f>IF(Tabulka1[[#This Row],[Reklamace]]="ano",1,0)</f>
        <v>0</v>
      </c>
    </row>
    <row r="92" spans="1:15" ht="15.75" customHeight="1" x14ac:dyDescent="0.3">
      <c r="A92" s="1">
        <v>277</v>
      </c>
      <c r="B92" s="2">
        <v>45918</v>
      </c>
      <c r="C92" s="1" t="s">
        <v>36</v>
      </c>
      <c r="D92" s="1" t="s">
        <v>48</v>
      </c>
      <c r="E92" s="1">
        <v>8</v>
      </c>
      <c r="F92" s="1">
        <v>22000</v>
      </c>
      <c r="G92" s="1">
        <v>176000</v>
      </c>
      <c r="H92" s="1">
        <v>34662</v>
      </c>
      <c r="I92" s="1" t="s">
        <v>16</v>
      </c>
      <c r="J92" s="1">
        <v>3</v>
      </c>
      <c r="K92" s="1" t="s">
        <v>15</v>
      </c>
      <c r="L92" s="1">
        <v>6</v>
      </c>
      <c r="M92" s="1" t="s">
        <v>20</v>
      </c>
      <c r="N92" s="5">
        <f>IF(Tabulka1[[#This Row],[E-shop]]="ano",1,0)</f>
        <v>1</v>
      </c>
      <c r="O92" s="5">
        <f>IF(Tabulka1[[#This Row],[Reklamace]]="ano",1,0)</f>
        <v>0</v>
      </c>
    </row>
    <row r="93" spans="1:15" ht="15.75" customHeight="1" x14ac:dyDescent="0.3">
      <c r="A93" s="1">
        <v>799</v>
      </c>
      <c r="B93" s="2">
        <v>45579</v>
      </c>
      <c r="C93" s="1" t="s">
        <v>36</v>
      </c>
      <c r="D93" s="1" t="s">
        <v>48</v>
      </c>
      <c r="E93" s="1">
        <v>8</v>
      </c>
      <c r="F93" s="1">
        <v>22000</v>
      </c>
      <c r="G93" s="1">
        <v>176000</v>
      </c>
      <c r="H93" s="1">
        <v>40524</v>
      </c>
      <c r="I93" s="1" t="s">
        <v>16</v>
      </c>
      <c r="J93" s="1">
        <v>2</v>
      </c>
      <c r="K93" s="1" t="s">
        <v>15</v>
      </c>
      <c r="L93" s="1">
        <v>6</v>
      </c>
      <c r="M93" s="1" t="s">
        <v>17</v>
      </c>
      <c r="N93" s="5">
        <f>IF(Tabulka1[[#This Row],[E-shop]]="ano",1,0)</f>
        <v>1</v>
      </c>
      <c r="O93" s="5">
        <f>IF(Tabulka1[[#This Row],[Reklamace]]="ano",1,0)</f>
        <v>0</v>
      </c>
    </row>
    <row r="94" spans="1:15" ht="15.75" customHeight="1" x14ac:dyDescent="0.3">
      <c r="A94" s="1">
        <v>129</v>
      </c>
      <c r="B94" s="2">
        <v>46021</v>
      </c>
      <c r="C94" s="1" t="s">
        <v>25</v>
      </c>
      <c r="D94" s="1" t="s">
        <v>47</v>
      </c>
      <c r="E94" s="1">
        <v>7</v>
      </c>
      <c r="F94" s="1">
        <v>25000</v>
      </c>
      <c r="G94" s="1">
        <v>175000</v>
      </c>
      <c r="H94" s="1">
        <v>51871</v>
      </c>
      <c r="I94" s="1" t="s">
        <v>15</v>
      </c>
      <c r="J94" s="1">
        <v>7</v>
      </c>
      <c r="K94" s="1" t="s">
        <v>16</v>
      </c>
      <c r="L94" s="1">
        <v>3</v>
      </c>
      <c r="M94" s="1" t="s">
        <v>20</v>
      </c>
      <c r="N94" s="5">
        <f>IF(Tabulka1[[#This Row],[E-shop]]="ano",1,0)</f>
        <v>0</v>
      </c>
      <c r="O94" s="5">
        <f>IF(Tabulka1[[#This Row],[Reklamace]]="ano",1,0)</f>
        <v>1</v>
      </c>
    </row>
    <row r="95" spans="1:15" ht="15.75" customHeight="1" x14ac:dyDescent="0.3">
      <c r="A95" s="1">
        <v>681</v>
      </c>
      <c r="B95" s="2">
        <v>45665</v>
      </c>
      <c r="C95" s="1" t="s">
        <v>18</v>
      </c>
      <c r="D95" s="1" t="s">
        <v>47</v>
      </c>
      <c r="E95" s="1">
        <v>7</v>
      </c>
      <c r="F95" s="1">
        <v>25000</v>
      </c>
      <c r="G95" s="1">
        <v>175000</v>
      </c>
      <c r="H95" s="1">
        <v>44606</v>
      </c>
      <c r="I95" s="1" t="s">
        <v>15</v>
      </c>
      <c r="J95" s="1">
        <v>5</v>
      </c>
      <c r="K95" s="1" t="s">
        <v>16</v>
      </c>
      <c r="L95" s="1">
        <v>3</v>
      </c>
      <c r="M95" s="1" t="s">
        <v>20</v>
      </c>
      <c r="N95" s="5">
        <f>IF(Tabulka1[[#This Row],[E-shop]]="ano",1,0)</f>
        <v>0</v>
      </c>
      <c r="O95" s="5">
        <f>IF(Tabulka1[[#This Row],[Reklamace]]="ano",1,0)</f>
        <v>1</v>
      </c>
    </row>
    <row r="96" spans="1:15" ht="15.75" customHeight="1" x14ac:dyDescent="0.3">
      <c r="A96" s="1">
        <v>923</v>
      </c>
      <c r="B96" s="2">
        <v>45788</v>
      </c>
      <c r="C96" s="1" t="s">
        <v>13</v>
      </c>
      <c r="D96" s="1" t="s">
        <v>47</v>
      </c>
      <c r="E96" s="1">
        <v>7</v>
      </c>
      <c r="F96" s="1">
        <v>25000</v>
      </c>
      <c r="G96" s="1">
        <v>175000</v>
      </c>
      <c r="H96" s="1">
        <v>26633</v>
      </c>
      <c r="I96" s="1" t="s">
        <v>16</v>
      </c>
      <c r="J96" s="1">
        <v>7</v>
      </c>
      <c r="K96" s="1" t="s">
        <v>16</v>
      </c>
      <c r="L96" s="1">
        <v>2</v>
      </c>
      <c r="M96" s="1" t="s">
        <v>20</v>
      </c>
      <c r="N96" s="5">
        <f>IF(Tabulka1[[#This Row],[E-shop]]="ano",1,0)</f>
        <v>1</v>
      </c>
      <c r="O96" s="5">
        <f>IF(Tabulka1[[#This Row],[Reklamace]]="ano",1,0)</f>
        <v>1</v>
      </c>
    </row>
    <row r="97" spans="1:15" ht="15.75" customHeight="1" x14ac:dyDescent="0.3">
      <c r="A97" s="1">
        <v>476</v>
      </c>
      <c r="B97" s="2">
        <v>45625</v>
      </c>
      <c r="C97" s="1" t="s">
        <v>18</v>
      </c>
      <c r="D97" s="1" t="s">
        <v>26</v>
      </c>
      <c r="E97" s="1">
        <v>14</v>
      </c>
      <c r="F97" s="1">
        <v>12000</v>
      </c>
      <c r="G97" s="1">
        <v>168000</v>
      </c>
      <c r="H97" s="1">
        <v>50008</v>
      </c>
      <c r="I97" s="1" t="s">
        <v>15</v>
      </c>
      <c r="J97" s="1">
        <v>4</v>
      </c>
      <c r="K97" s="1" t="s">
        <v>15</v>
      </c>
      <c r="L97" s="1">
        <v>6</v>
      </c>
      <c r="M97" s="1" t="s">
        <v>20</v>
      </c>
      <c r="N97" s="5">
        <f>IF(Tabulka1[[#This Row],[E-shop]]="ano",1,0)</f>
        <v>0</v>
      </c>
      <c r="O97" s="5">
        <f>IF(Tabulka1[[#This Row],[Reklamace]]="ano",1,0)</f>
        <v>0</v>
      </c>
    </row>
    <row r="98" spans="1:15" ht="15.75" customHeight="1" x14ac:dyDescent="0.3">
      <c r="A98" s="1">
        <v>564</v>
      </c>
      <c r="B98" s="2">
        <v>45627</v>
      </c>
      <c r="C98" s="1" t="s">
        <v>18</v>
      </c>
      <c r="D98" s="1" t="s">
        <v>14</v>
      </c>
      <c r="E98" s="1">
        <v>14</v>
      </c>
      <c r="F98" s="1">
        <v>12000</v>
      </c>
      <c r="G98" s="1">
        <v>168000</v>
      </c>
      <c r="H98" s="1">
        <v>27737</v>
      </c>
      <c r="I98" s="1" t="s">
        <v>15</v>
      </c>
      <c r="J98" s="1">
        <v>3</v>
      </c>
      <c r="K98" s="1" t="s">
        <v>15</v>
      </c>
      <c r="L98" s="1">
        <v>6</v>
      </c>
      <c r="M98" s="1" t="s">
        <v>20</v>
      </c>
      <c r="N98" s="5">
        <f>IF(Tabulka1[[#This Row],[E-shop]]="ano",1,0)</f>
        <v>0</v>
      </c>
      <c r="O98" s="5">
        <f>IF(Tabulka1[[#This Row],[Reklamace]]="ano",1,0)</f>
        <v>0</v>
      </c>
    </row>
    <row r="99" spans="1:15" ht="15.75" customHeight="1" x14ac:dyDescent="0.3">
      <c r="A99" s="1">
        <v>845</v>
      </c>
      <c r="B99" s="2">
        <v>45980</v>
      </c>
      <c r="C99" s="1" t="s">
        <v>13</v>
      </c>
      <c r="D99" s="1" t="s">
        <v>26</v>
      </c>
      <c r="E99" s="1">
        <v>14</v>
      </c>
      <c r="F99" s="1">
        <v>12000</v>
      </c>
      <c r="G99" s="1">
        <v>168000</v>
      </c>
      <c r="H99" s="1">
        <v>42697</v>
      </c>
      <c r="I99" s="1" t="s">
        <v>15</v>
      </c>
      <c r="J99" s="1">
        <v>6</v>
      </c>
      <c r="K99" s="1" t="s">
        <v>15</v>
      </c>
      <c r="L99" s="1">
        <v>5</v>
      </c>
      <c r="M99" s="1" t="s">
        <v>17</v>
      </c>
      <c r="N99" s="5">
        <f>IF(Tabulka1[[#This Row],[E-shop]]="ano",1,0)</f>
        <v>0</v>
      </c>
      <c r="O99" s="5">
        <f>IF(Tabulka1[[#This Row],[Reklamace]]="ano",1,0)</f>
        <v>0</v>
      </c>
    </row>
    <row r="100" spans="1:15" ht="15.75" customHeight="1" x14ac:dyDescent="0.3">
      <c r="A100" s="1">
        <v>891</v>
      </c>
      <c r="B100" s="2">
        <v>45535</v>
      </c>
      <c r="C100" s="1" t="s">
        <v>23</v>
      </c>
      <c r="D100" s="1" t="s">
        <v>14</v>
      </c>
      <c r="E100" s="1">
        <v>14</v>
      </c>
      <c r="F100" s="1">
        <v>12000</v>
      </c>
      <c r="G100" s="1">
        <v>168000</v>
      </c>
      <c r="H100" s="1">
        <v>40319</v>
      </c>
      <c r="I100" s="1" t="s">
        <v>15</v>
      </c>
      <c r="J100" s="1">
        <v>5</v>
      </c>
      <c r="K100" s="1" t="s">
        <v>15</v>
      </c>
      <c r="L100" s="1">
        <v>6</v>
      </c>
      <c r="M100" s="1" t="s">
        <v>20</v>
      </c>
      <c r="N100" s="5">
        <f>IF(Tabulka1[[#This Row],[E-shop]]="ano",1,0)</f>
        <v>0</v>
      </c>
      <c r="O100" s="5">
        <f>IF(Tabulka1[[#This Row],[Reklamace]]="ano",1,0)</f>
        <v>0</v>
      </c>
    </row>
    <row r="101" spans="1:15" ht="15.75" customHeight="1" x14ac:dyDescent="0.3">
      <c r="A101" s="1">
        <v>19</v>
      </c>
      <c r="B101" s="2">
        <v>45678</v>
      </c>
      <c r="C101" s="1" t="s">
        <v>36</v>
      </c>
      <c r="D101" s="1" t="s">
        <v>22</v>
      </c>
      <c r="E101" s="1">
        <v>11</v>
      </c>
      <c r="F101" s="1">
        <v>15000</v>
      </c>
      <c r="G101" s="1">
        <v>165000</v>
      </c>
      <c r="H101" s="1">
        <v>46355</v>
      </c>
      <c r="I101" s="1" t="s">
        <v>15</v>
      </c>
      <c r="J101" s="1">
        <v>7</v>
      </c>
      <c r="K101" s="1" t="s">
        <v>16</v>
      </c>
      <c r="L101" s="1">
        <v>4</v>
      </c>
      <c r="M101" s="1" t="s">
        <v>17</v>
      </c>
      <c r="N101" s="5">
        <f>IF(Tabulka1[[#This Row],[E-shop]]="ano",1,0)</f>
        <v>0</v>
      </c>
      <c r="O101" s="5">
        <f>IF(Tabulka1[[#This Row],[Reklamace]]="ano",1,0)</f>
        <v>1</v>
      </c>
    </row>
    <row r="102" spans="1:15" ht="15.75" customHeight="1" x14ac:dyDescent="0.3">
      <c r="A102" s="1">
        <v>287</v>
      </c>
      <c r="B102" s="2">
        <v>45750</v>
      </c>
      <c r="C102" s="1" t="s">
        <v>18</v>
      </c>
      <c r="D102" s="1" t="s">
        <v>22</v>
      </c>
      <c r="E102" s="1">
        <v>11</v>
      </c>
      <c r="F102" s="1">
        <v>15000</v>
      </c>
      <c r="G102" s="1">
        <v>165000</v>
      </c>
      <c r="H102" s="1">
        <v>46537</v>
      </c>
      <c r="I102" s="1" t="s">
        <v>15</v>
      </c>
      <c r="J102" s="1">
        <v>9</v>
      </c>
      <c r="K102" s="1" t="s">
        <v>16</v>
      </c>
      <c r="L102" s="1">
        <v>1</v>
      </c>
      <c r="M102" s="1" t="s">
        <v>20</v>
      </c>
      <c r="N102" s="5">
        <f>IF(Tabulka1[[#This Row],[E-shop]]="ano",1,0)</f>
        <v>0</v>
      </c>
      <c r="O102" s="5">
        <f>IF(Tabulka1[[#This Row],[Reklamace]]="ano",1,0)</f>
        <v>1</v>
      </c>
    </row>
    <row r="103" spans="1:15" ht="15.75" customHeight="1" x14ac:dyDescent="0.3">
      <c r="A103" s="1">
        <v>346</v>
      </c>
      <c r="B103" s="2">
        <v>45669</v>
      </c>
      <c r="C103" s="1" t="s">
        <v>31</v>
      </c>
      <c r="D103" s="1" t="s">
        <v>22</v>
      </c>
      <c r="E103" s="1">
        <v>11</v>
      </c>
      <c r="F103" s="1">
        <v>15000</v>
      </c>
      <c r="G103" s="1">
        <v>165000</v>
      </c>
      <c r="H103" s="1">
        <v>34446</v>
      </c>
      <c r="I103" s="1" t="s">
        <v>16</v>
      </c>
      <c r="J103" s="1">
        <v>4</v>
      </c>
      <c r="K103" s="1" t="s">
        <v>16</v>
      </c>
      <c r="L103" s="1">
        <v>5</v>
      </c>
      <c r="M103" s="1" t="s">
        <v>20</v>
      </c>
      <c r="N103" s="5">
        <f>IF(Tabulka1[[#This Row],[E-shop]]="ano",1,0)</f>
        <v>1</v>
      </c>
      <c r="O103" s="5">
        <f>IF(Tabulka1[[#This Row],[Reklamace]]="ano",1,0)</f>
        <v>1</v>
      </c>
    </row>
    <row r="104" spans="1:15" ht="15.75" customHeight="1" x14ac:dyDescent="0.3">
      <c r="A104" s="1">
        <v>899</v>
      </c>
      <c r="B104" s="2">
        <v>45514</v>
      </c>
      <c r="C104" s="1" t="s">
        <v>31</v>
      </c>
      <c r="D104" s="1" t="s">
        <v>22</v>
      </c>
      <c r="E104" s="1">
        <v>11</v>
      </c>
      <c r="F104" s="1">
        <v>15000</v>
      </c>
      <c r="G104" s="1">
        <v>165000</v>
      </c>
      <c r="H104" s="1">
        <v>40761</v>
      </c>
      <c r="I104" s="1" t="s">
        <v>15</v>
      </c>
      <c r="J104" s="1">
        <v>7</v>
      </c>
      <c r="K104" s="1" t="s">
        <v>16</v>
      </c>
      <c r="L104" s="1">
        <v>2</v>
      </c>
      <c r="M104" s="1" t="s">
        <v>20</v>
      </c>
      <c r="N104" s="5">
        <f>IF(Tabulka1[[#This Row],[E-shop]]="ano",1,0)</f>
        <v>0</v>
      </c>
      <c r="O104" s="5">
        <f>IF(Tabulka1[[#This Row],[Reklamace]]="ano",1,0)</f>
        <v>1</v>
      </c>
    </row>
    <row r="105" spans="1:15" ht="15.75" customHeight="1" x14ac:dyDescent="0.3">
      <c r="A105" s="1">
        <v>240</v>
      </c>
      <c r="B105" s="2">
        <v>45732</v>
      </c>
      <c r="C105" s="1" t="s">
        <v>18</v>
      </c>
      <c r="D105" s="1" t="s">
        <v>28</v>
      </c>
      <c r="E105" s="1">
        <v>9</v>
      </c>
      <c r="F105" s="1">
        <v>18000</v>
      </c>
      <c r="G105" s="1">
        <v>162000</v>
      </c>
      <c r="H105" s="1">
        <v>41459</v>
      </c>
      <c r="I105" s="1" t="s">
        <v>15</v>
      </c>
      <c r="J105" s="1">
        <v>3</v>
      </c>
      <c r="K105" s="1" t="s">
        <v>16</v>
      </c>
      <c r="L105" s="1">
        <v>7</v>
      </c>
      <c r="M105" s="1" t="s">
        <v>20</v>
      </c>
      <c r="N105" s="5">
        <f>IF(Tabulka1[[#This Row],[E-shop]]="ano",1,0)</f>
        <v>0</v>
      </c>
      <c r="O105" s="5">
        <f>IF(Tabulka1[[#This Row],[Reklamace]]="ano",1,0)</f>
        <v>1</v>
      </c>
    </row>
    <row r="106" spans="1:15" ht="15.75" customHeight="1" x14ac:dyDescent="0.3">
      <c r="A106" s="1">
        <v>360</v>
      </c>
      <c r="B106" s="2">
        <v>45951</v>
      </c>
      <c r="C106" s="1" t="s">
        <v>25</v>
      </c>
      <c r="D106" s="1" t="s">
        <v>28</v>
      </c>
      <c r="E106" s="1">
        <v>9</v>
      </c>
      <c r="F106" s="1">
        <v>18000</v>
      </c>
      <c r="G106" s="1">
        <v>162000</v>
      </c>
      <c r="H106" s="1">
        <v>44638</v>
      </c>
      <c r="I106" s="1" t="s">
        <v>15</v>
      </c>
      <c r="J106" s="1">
        <v>7</v>
      </c>
      <c r="K106" s="1" t="s">
        <v>15</v>
      </c>
      <c r="L106" s="1">
        <v>2</v>
      </c>
      <c r="M106" s="1" t="s">
        <v>20</v>
      </c>
      <c r="N106" s="5">
        <f>IF(Tabulka1[[#This Row],[E-shop]]="ano",1,0)</f>
        <v>0</v>
      </c>
      <c r="O106" s="5">
        <f>IF(Tabulka1[[#This Row],[Reklamace]]="ano",1,0)</f>
        <v>0</v>
      </c>
    </row>
    <row r="107" spans="1:15" ht="15.75" customHeight="1" x14ac:dyDescent="0.3">
      <c r="A107" s="1">
        <v>427</v>
      </c>
      <c r="B107" s="2">
        <v>45927</v>
      </c>
      <c r="C107" s="1" t="s">
        <v>21</v>
      </c>
      <c r="D107" s="1" t="s">
        <v>28</v>
      </c>
      <c r="E107" s="1">
        <v>9</v>
      </c>
      <c r="F107" s="1">
        <v>18000</v>
      </c>
      <c r="G107" s="1">
        <v>162000</v>
      </c>
      <c r="H107" s="1">
        <v>39805</v>
      </c>
      <c r="I107" s="1" t="s">
        <v>16</v>
      </c>
      <c r="J107" s="1">
        <v>8</v>
      </c>
      <c r="K107" s="1" t="s">
        <v>15</v>
      </c>
      <c r="L107" s="1">
        <v>3</v>
      </c>
      <c r="M107" s="1" t="s">
        <v>20</v>
      </c>
      <c r="N107" s="5">
        <f>IF(Tabulka1[[#This Row],[E-shop]]="ano",1,0)</f>
        <v>1</v>
      </c>
      <c r="O107" s="5">
        <f>IF(Tabulka1[[#This Row],[Reklamace]]="ano",1,0)</f>
        <v>0</v>
      </c>
    </row>
    <row r="108" spans="1:15" ht="15.75" customHeight="1" x14ac:dyDescent="0.3">
      <c r="A108" s="1">
        <v>532</v>
      </c>
      <c r="B108" s="2">
        <v>45422</v>
      </c>
      <c r="C108" s="1" t="s">
        <v>31</v>
      </c>
      <c r="D108" s="1" t="s">
        <v>29</v>
      </c>
      <c r="E108" s="1">
        <v>8</v>
      </c>
      <c r="F108" s="1">
        <v>20000</v>
      </c>
      <c r="G108" s="1">
        <v>160000</v>
      </c>
      <c r="H108" s="1">
        <v>25698</v>
      </c>
      <c r="I108" s="1" t="s">
        <v>16</v>
      </c>
      <c r="J108" s="1">
        <v>6</v>
      </c>
      <c r="K108" s="1" t="s">
        <v>16</v>
      </c>
      <c r="L108" s="1">
        <v>2</v>
      </c>
      <c r="M108" s="1" t="s">
        <v>20</v>
      </c>
      <c r="N108" s="5">
        <f>IF(Tabulka1[[#This Row],[E-shop]]="ano",1,0)</f>
        <v>1</v>
      </c>
      <c r="O108" s="5">
        <f>IF(Tabulka1[[#This Row],[Reklamace]]="ano",1,0)</f>
        <v>1</v>
      </c>
    </row>
    <row r="109" spans="1:15" ht="15.75" customHeight="1" x14ac:dyDescent="0.3">
      <c r="A109" s="1">
        <v>187</v>
      </c>
      <c r="B109" s="2">
        <v>45615</v>
      </c>
      <c r="C109" s="1" t="s">
        <v>18</v>
      </c>
      <c r="D109" s="1" t="s">
        <v>26</v>
      </c>
      <c r="E109" s="1">
        <v>13</v>
      </c>
      <c r="F109" s="1">
        <v>12000</v>
      </c>
      <c r="G109" s="1">
        <v>156000</v>
      </c>
      <c r="H109" s="1">
        <v>28533</v>
      </c>
      <c r="I109" s="1" t="s">
        <v>15</v>
      </c>
      <c r="J109" s="1">
        <v>5</v>
      </c>
      <c r="K109" s="1" t="s">
        <v>15</v>
      </c>
      <c r="L109" s="1">
        <v>5</v>
      </c>
      <c r="M109" s="1" t="s">
        <v>20</v>
      </c>
      <c r="N109" s="5">
        <f>IF(Tabulka1[[#This Row],[E-shop]]="ano",1,0)</f>
        <v>0</v>
      </c>
      <c r="O109" s="5">
        <f>IF(Tabulka1[[#This Row],[Reklamace]]="ano",1,0)</f>
        <v>0</v>
      </c>
    </row>
    <row r="110" spans="1:15" ht="15.75" customHeight="1" x14ac:dyDescent="0.3">
      <c r="A110" s="1">
        <v>246</v>
      </c>
      <c r="B110" s="2">
        <v>45614</v>
      </c>
      <c r="C110" s="1" t="s">
        <v>18</v>
      </c>
      <c r="D110" s="1" t="s">
        <v>26</v>
      </c>
      <c r="E110" s="1">
        <v>13</v>
      </c>
      <c r="F110" s="1">
        <v>12000</v>
      </c>
      <c r="G110" s="1">
        <v>156000</v>
      </c>
      <c r="H110" s="1">
        <v>36961</v>
      </c>
      <c r="I110" s="1" t="s">
        <v>15</v>
      </c>
      <c r="J110" s="1">
        <v>6</v>
      </c>
      <c r="K110" s="1" t="s">
        <v>16</v>
      </c>
      <c r="L110" s="1">
        <v>5</v>
      </c>
      <c r="M110" s="1" t="s">
        <v>20</v>
      </c>
      <c r="N110" s="5">
        <f>IF(Tabulka1[[#This Row],[E-shop]]="ano",1,0)</f>
        <v>0</v>
      </c>
      <c r="O110" s="5">
        <f>IF(Tabulka1[[#This Row],[Reklamace]]="ano",1,0)</f>
        <v>1</v>
      </c>
    </row>
    <row r="111" spans="1:15" ht="15.75" customHeight="1" x14ac:dyDescent="0.3">
      <c r="A111" s="1">
        <v>539</v>
      </c>
      <c r="B111" s="2">
        <v>45774</v>
      </c>
      <c r="C111" s="1" t="s">
        <v>36</v>
      </c>
      <c r="D111" s="1" t="s">
        <v>26</v>
      </c>
      <c r="E111" s="1">
        <v>13</v>
      </c>
      <c r="F111" s="1">
        <v>12000</v>
      </c>
      <c r="G111" s="1">
        <v>156000</v>
      </c>
      <c r="H111" s="1">
        <v>23620</v>
      </c>
      <c r="I111" s="1" t="s">
        <v>15</v>
      </c>
      <c r="J111" s="1">
        <v>5</v>
      </c>
      <c r="K111" s="1" t="s">
        <v>16</v>
      </c>
      <c r="L111" s="1">
        <v>4</v>
      </c>
      <c r="M111" s="1" t="s">
        <v>17</v>
      </c>
      <c r="N111" s="5">
        <f>IF(Tabulka1[[#This Row],[E-shop]]="ano",1,0)</f>
        <v>0</v>
      </c>
      <c r="O111" s="5">
        <f>IF(Tabulka1[[#This Row],[Reklamace]]="ano",1,0)</f>
        <v>1</v>
      </c>
    </row>
    <row r="112" spans="1:15" ht="15.75" customHeight="1" x14ac:dyDescent="0.3">
      <c r="A112" s="1">
        <v>541</v>
      </c>
      <c r="B112" s="2">
        <v>45744</v>
      </c>
      <c r="C112" s="1" t="s">
        <v>25</v>
      </c>
      <c r="D112" s="1" t="s">
        <v>14</v>
      </c>
      <c r="E112" s="1">
        <v>13</v>
      </c>
      <c r="F112" s="1">
        <v>12000</v>
      </c>
      <c r="G112" s="1">
        <v>156000</v>
      </c>
      <c r="H112" s="1">
        <v>24631</v>
      </c>
      <c r="I112" s="1" t="s">
        <v>16</v>
      </c>
      <c r="J112" s="1">
        <v>8</v>
      </c>
      <c r="K112" s="1" t="s">
        <v>16</v>
      </c>
      <c r="L112" s="1">
        <v>3</v>
      </c>
      <c r="M112" s="1" t="s">
        <v>20</v>
      </c>
      <c r="N112" s="5">
        <f>IF(Tabulka1[[#This Row],[E-shop]]="ano",1,0)</f>
        <v>1</v>
      </c>
      <c r="O112" s="5">
        <f>IF(Tabulka1[[#This Row],[Reklamace]]="ano",1,0)</f>
        <v>1</v>
      </c>
    </row>
    <row r="113" spans="1:15" ht="15.75" customHeight="1" x14ac:dyDescent="0.3">
      <c r="A113" s="1">
        <v>594</v>
      </c>
      <c r="B113" s="2">
        <v>45615</v>
      </c>
      <c r="C113" s="1" t="s">
        <v>18</v>
      </c>
      <c r="D113" s="1" t="s">
        <v>26</v>
      </c>
      <c r="E113" s="1">
        <v>13</v>
      </c>
      <c r="F113" s="1">
        <v>12000</v>
      </c>
      <c r="G113" s="1">
        <v>156000</v>
      </c>
      <c r="H113" s="1">
        <v>23722</v>
      </c>
      <c r="I113" s="1" t="s">
        <v>15</v>
      </c>
      <c r="J113" s="1">
        <v>5</v>
      </c>
      <c r="K113" s="1" t="s">
        <v>15</v>
      </c>
      <c r="L113" s="1">
        <v>3</v>
      </c>
      <c r="M113" s="1" t="s">
        <v>20</v>
      </c>
      <c r="N113" s="5">
        <f>IF(Tabulka1[[#This Row],[E-shop]]="ano",1,0)</f>
        <v>0</v>
      </c>
      <c r="O113" s="5">
        <f>IF(Tabulka1[[#This Row],[Reklamace]]="ano",1,0)</f>
        <v>0</v>
      </c>
    </row>
    <row r="114" spans="1:15" ht="15.75" customHeight="1" x14ac:dyDescent="0.3">
      <c r="A114" s="1">
        <v>640</v>
      </c>
      <c r="B114" s="2">
        <v>45852</v>
      </c>
      <c r="C114" s="1" t="s">
        <v>36</v>
      </c>
      <c r="D114" s="1" t="s">
        <v>26</v>
      </c>
      <c r="E114" s="1">
        <v>13</v>
      </c>
      <c r="F114" s="1">
        <v>12000</v>
      </c>
      <c r="G114" s="1">
        <v>156000</v>
      </c>
      <c r="H114" s="1">
        <v>44787</v>
      </c>
      <c r="I114" s="1" t="s">
        <v>16</v>
      </c>
      <c r="J114" s="1">
        <v>9</v>
      </c>
      <c r="K114" s="1" t="s">
        <v>15</v>
      </c>
      <c r="L114" s="1">
        <v>1</v>
      </c>
      <c r="M114" s="1" t="s">
        <v>20</v>
      </c>
      <c r="N114" s="5">
        <f>IF(Tabulka1[[#This Row],[E-shop]]="ano",1,0)</f>
        <v>1</v>
      </c>
      <c r="O114" s="5">
        <f>IF(Tabulka1[[#This Row],[Reklamace]]="ano",1,0)</f>
        <v>0</v>
      </c>
    </row>
    <row r="115" spans="1:15" ht="15.75" customHeight="1" x14ac:dyDescent="0.3">
      <c r="A115" s="1">
        <v>759</v>
      </c>
      <c r="B115" s="2">
        <v>45792</v>
      </c>
      <c r="C115" s="1" t="s">
        <v>21</v>
      </c>
      <c r="D115" s="1" t="s">
        <v>14</v>
      </c>
      <c r="E115" s="1">
        <v>13</v>
      </c>
      <c r="F115" s="1">
        <v>12000</v>
      </c>
      <c r="G115" s="1">
        <v>156000</v>
      </c>
      <c r="H115" s="1">
        <v>24987</v>
      </c>
      <c r="I115" s="1" t="s">
        <v>15</v>
      </c>
      <c r="J115" s="1">
        <v>5</v>
      </c>
      <c r="K115" s="1" t="s">
        <v>16</v>
      </c>
      <c r="L115" s="1">
        <v>4</v>
      </c>
      <c r="M115" s="1" t="s">
        <v>20</v>
      </c>
      <c r="N115" s="5">
        <f>IF(Tabulka1[[#This Row],[E-shop]]="ano",1,0)</f>
        <v>0</v>
      </c>
      <c r="O115" s="5">
        <f>IF(Tabulka1[[#This Row],[Reklamace]]="ano",1,0)</f>
        <v>1</v>
      </c>
    </row>
    <row r="116" spans="1:15" ht="15.75" customHeight="1" x14ac:dyDescent="0.3">
      <c r="A116" s="1">
        <v>767</v>
      </c>
      <c r="B116" s="2">
        <v>45398</v>
      </c>
      <c r="C116" s="1" t="s">
        <v>13</v>
      </c>
      <c r="D116" s="1" t="s">
        <v>14</v>
      </c>
      <c r="E116" s="1">
        <v>13</v>
      </c>
      <c r="F116" s="1">
        <v>12000</v>
      </c>
      <c r="G116" s="1">
        <v>156000</v>
      </c>
      <c r="H116" s="1">
        <v>39967</v>
      </c>
      <c r="I116" s="1" t="s">
        <v>16</v>
      </c>
      <c r="J116" s="1">
        <v>6</v>
      </c>
      <c r="K116" s="1" t="s">
        <v>16</v>
      </c>
      <c r="L116" s="1">
        <v>3</v>
      </c>
      <c r="M116" s="1" t="s">
        <v>20</v>
      </c>
      <c r="N116" s="5">
        <f>IF(Tabulka1[[#This Row],[E-shop]]="ano",1,0)</f>
        <v>1</v>
      </c>
      <c r="O116" s="5">
        <f>IF(Tabulka1[[#This Row],[Reklamace]]="ano",1,0)</f>
        <v>1</v>
      </c>
    </row>
    <row r="117" spans="1:15" ht="15.75" customHeight="1" x14ac:dyDescent="0.3">
      <c r="A117" s="1">
        <v>780</v>
      </c>
      <c r="B117" s="2">
        <v>45390</v>
      </c>
      <c r="C117" s="1" t="s">
        <v>36</v>
      </c>
      <c r="D117" s="1" t="s">
        <v>26</v>
      </c>
      <c r="E117" s="1">
        <v>13</v>
      </c>
      <c r="F117" s="1">
        <v>12000</v>
      </c>
      <c r="G117" s="1">
        <v>156000</v>
      </c>
      <c r="H117" s="1">
        <v>43412</v>
      </c>
      <c r="I117" s="1" t="s">
        <v>16</v>
      </c>
      <c r="J117" s="1">
        <v>6</v>
      </c>
      <c r="K117" s="1" t="s">
        <v>16</v>
      </c>
      <c r="L117" s="1">
        <v>4</v>
      </c>
      <c r="M117" s="1" t="s">
        <v>20</v>
      </c>
      <c r="N117" s="5">
        <f>IF(Tabulka1[[#This Row],[E-shop]]="ano",1,0)</f>
        <v>1</v>
      </c>
      <c r="O117" s="5">
        <f>IF(Tabulka1[[#This Row],[Reklamace]]="ano",1,0)</f>
        <v>1</v>
      </c>
    </row>
    <row r="118" spans="1:15" ht="15.75" customHeight="1" x14ac:dyDescent="0.3">
      <c r="A118" s="1">
        <v>793</v>
      </c>
      <c r="B118" s="2">
        <v>45910</v>
      </c>
      <c r="C118" s="1" t="s">
        <v>36</v>
      </c>
      <c r="D118" s="1" t="s">
        <v>14</v>
      </c>
      <c r="E118" s="1">
        <v>13</v>
      </c>
      <c r="F118" s="1">
        <v>12000</v>
      </c>
      <c r="G118" s="1">
        <v>156000</v>
      </c>
      <c r="H118" s="1">
        <v>42372</v>
      </c>
      <c r="I118" s="1" t="s">
        <v>16</v>
      </c>
      <c r="J118" s="1">
        <v>5</v>
      </c>
      <c r="K118" s="1" t="s">
        <v>16</v>
      </c>
      <c r="L118" s="1">
        <v>3</v>
      </c>
      <c r="M118" s="1" t="s">
        <v>20</v>
      </c>
      <c r="N118" s="5">
        <f>IF(Tabulka1[[#This Row],[E-shop]]="ano",1,0)</f>
        <v>1</v>
      </c>
      <c r="O118" s="5">
        <f>IF(Tabulka1[[#This Row],[Reklamace]]="ano",1,0)</f>
        <v>1</v>
      </c>
    </row>
    <row r="119" spans="1:15" ht="15.75" customHeight="1" x14ac:dyDescent="0.3">
      <c r="A119" s="1">
        <v>878</v>
      </c>
      <c r="B119" s="2">
        <v>45327</v>
      </c>
      <c r="C119" s="1" t="s">
        <v>23</v>
      </c>
      <c r="D119" s="1" t="s">
        <v>35</v>
      </c>
      <c r="E119" s="1">
        <v>13</v>
      </c>
      <c r="F119" s="1">
        <v>12000</v>
      </c>
      <c r="G119" s="1">
        <v>156000</v>
      </c>
      <c r="H119" s="1">
        <v>46699</v>
      </c>
      <c r="I119" s="1" t="s">
        <v>15</v>
      </c>
      <c r="J119" s="1">
        <v>3</v>
      </c>
      <c r="K119" s="1" t="s">
        <v>15</v>
      </c>
      <c r="L119" s="1">
        <v>5</v>
      </c>
      <c r="M119" s="1" t="s">
        <v>20</v>
      </c>
      <c r="N119" s="5">
        <f>IF(Tabulka1[[#This Row],[E-shop]]="ano",1,0)</f>
        <v>0</v>
      </c>
      <c r="O119" s="5">
        <f>IF(Tabulka1[[#This Row],[Reklamace]]="ano",1,0)</f>
        <v>0</v>
      </c>
    </row>
    <row r="120" spans="1:15" ht="15.75" customHeight="1" x14ac:dyDescent="0.3">
      <c r="A120" s="1">
        <v>915</v>
      </c>
      <c r="B120" s="2">
        <v>45676</v>
      </c>
      <c r="C120" s="1" t="s">
        <v>21</v>
      </c>
      <c r="D120" s="1" t="s">
        <v>14</v>
      </c>
      <c r="E120" s="1">
        <v>13</v>
      </c>
      <c r="F120" s="1">
        <v>12000</v>
      </c>
      <c r="G120" s="1">
        <v>156000</v>
      </c>
      <c r="H120" s="1">
        <v>32982</v>
      </c>
      <c r="I120" s="1" t="s">
        <v>15</v>
      </c>
      <c r="J120" s="1">
        <v>8</v>
      </c>
      <c r="K120" s="1" t="s">
        <v>16</v>
      </c>
      <c r="L120" s="1">
        <v>2</v>
      </c>
      <c r="M120" s="1" t="s">
        <v>17</v>
      </c>
      <c r="N120" s="5">
        <f>IF(Tabulka1[[#This Row],[E-shop]]="ano",1,0)</f>
        <v>0</v>
      </c>
      <c r="O120" s="5">
        <f>IF(Tabulka1[[#This Row],[Reklamace]]="ano",1,0)</f>
        <v>1</v>
      </c>
    </row>
    <row r="121" spans="1:15" ht="15.75" customHeight="1" x14ac:dyDescent="0.3">
      <c r="A121" s="1">
        <v>174</v>
      </c>
      <c r="B121" s="2">
        <v>45942</v>
      </c>
      <c r="C121" s="1" t="s">
        <v>31</v>
      </c>
      <c r="D121" s="1" t="s">
        <v>40</v>
      </c>
      <c r="E121" s="1">
        <v>11</v>
      </c>
      <c r="F121" s="1">
        <v>14000</v>
      </c>
      <c r="G121" s="1">
        <v>154000</v>
      </c>
      <c r="H121" s="1">
        <v>32061</v>
      </c>
      <c r="I121" s="1" t="s">
        <v>16</v>
      </c>
      <c r="J121" s="1">
        <v>6</v>
      </c>
      <c r="K121" s="1" t="s">
        <v>16</v>
      </c>
      <c r="L121" s="1">
        <v>4</v>
      </c>
      <c r="M121" s="1" t="s">
        <v>20</v>
      </c>
      <c r="N121" s="5">
        <f>IF(Tabulka1[[#This Row],[E-shop]]="ano",1,0)</f>
        <v>1</v>
      </c>
      <c r="O121" s="5">
        <f>IF(Tabulka1[[#This Row],[Reklamace]]="ano",1,0)</f>
        <v>1</v>
      </c>
    </row>
    <row r="122" spans="1:15" ht="15.75" customHeight="1" x14ac:dyDescent="0.3">
      <c r="A122" s="1">
        <v>234</v>
      </c>
      <c r="B122" s="2">
        <v>45623</v>
      </c>
      <c r="C122" s="1" t="s">
        <v>25</v>
      </c>
      <c r="D122" s="1" t="s">
        <v>40</v>
      </c>
      <c r="E122" s="1">
        <v>11</v>
      </c>
      <c r="F122" s="1">
        <v>14000</v>
      </c>
      <c r="G122" s="1">
        <v>154000</v>
      </c>
      <c r="H122" s="1">
        <v>44340</v>
      </c>
      <c r="I122" s="1" t="s">
        <v>16</v>
      </c>
      <c r="J122" s="1">
        <v>8</v>
      </c>
      <c r="K122" s="1" t="s">
        <v>16</v>
      </c>
      <c r="L122" s="1">
        <v>1</v>
      </c>
      <c r="M122" s="1" t="s">
        <v>17</v>
      </c>
      <c r="N122" s="5">
        <f>IF(Tabulka1[[#This Row],[E-shop]]="ano",1,0)</f>
        <v>1</v>
      </c>
      <c r="O122" s="5">
        <f>IF(Tabulka1[[#This Row],[Reklamace]]="ano",1,0)</f>
        <v>1</v>
      </c>
    </row>
    <row r="123" spans="1:15" ht="15.75" customHeight="1" x14ac:dyDescent="0.3">
      <c r="A123" s="1">
        <v>437</v>
      </c>
      <c r="B123" s="2">
        <v>45609</v>
      </c>
      <c r="C123" s="1" t="s">
        <v>13</v>
      </c>
      <c r="D123" s="1" t="s">
        <v>48</v>
      </c>
      <c r="E123" s="1">
        <v>7</v>
      </c>
      <c r="F123" s="1">
        <v>22000</v>
      </c>
      <c r="G123" s="1">
        <v>154000</v>
      </c>
      <c r="H123" s="1">
        <v>35283</v>
      </c>
      <c r="I123" s="1" t="s">
        <v>15</v>
      </c>
      <c r="J123" s="1">
        <v>8</v>
      </c>
      <c r="K123" s="1" t="s">
        <v>15</v>
      </c>
      <c r="L123" s="1">
        <v>3</v>
      </c>
      <c r="M123" s="1" t="s">
        <v>17</v>
      </c>
      <c r="N123" s="5">
        <f>IF(Tabulka1[[#This Row],[E-shop]]="ano",1,0)</f>
        <v>0</v>
      </c>
      <c r="O123" s="5">
        <f>IF(Tabulka1[[#This Row],[Reklamace]]="ano",1,0)</f>
        <v>0</v>
      </c>
    </row>
    <row r="124" spans="1:15" ht="15.75" customHeight="1" x14ac:dyDescent="0.3">
      <c r="A124" s="1">
        <v>494</v>
      </c>
      <c r="B124" s="2">
        <v>45738</v>
      </c>
      <c r="C124" s="1" t="s">
        <v>18</v>
      </c>
      <c r="D124" s="1" t="s">
        <v>48</v>
      </c>
      <c r="E124" s="1">
        <v>7</v>
      </c>
      <c r="F124" s="1">
        <v>22000</v>
      </c>
      <c r="G124" s="1">
        <v>154000</v>
      </c>
      <c r="H124" s="1">
        <v>37261</v>
      </c>
      <c r="I124" s="1" t="s">
        <v>15</v>
      </c>
      <c r="J124" s="1">
        <v>6</v>
      </c>
      <c r="K124" s="1" t="s">
        <v>15</v>
      </c>
      <c r="L124" s="1">
        <v>3</v>
      </c>
      <c r="M124" s="1" t="s">
        <v>20</v>
      </c>
      <c r="N124" s="5">
        <f>IF(Tabulka1[[#This Row],[E-shop]]="ano",1,0)</f>
        <v>0</v>
      </c>
      <c r="O124" s="5">
        <f>IF(Tabulka1[[#This Row],[Reklamace]]="ano",1,0)</f>
        <v>0</v>
      </c>
    </row>
    <row r="125" spans="1:15" ht="15.75" customHeight="1" x14ac:dyDescent="0.3">
      <c r="A125" s="1">
        <v>627</v>
      </c>
      <c r="B125" s="2">
        <v>45858</v>
      </c>
      <c r="C125" s="1" t="s">
        <v>31</v>
      </c>
      <c r="D125" s="1" t="s">
        <v>48</v>
      </c>
      <c r="E125" s="1">
        <v>7</v>
      </c>
      <c r="F125" s="1">
        <v>22000</v>
      </c>
      <c r="G125" s="1">
        <v>154000</v>
      </c>
      <c r="H125" s="1">
        <v>37625</v>
      </c>
      <c r="I125" s="1" t="s">
        <v>15</v>
      </c>
      <c r="J125" s="1">
        <v>6</v>
      </c>
      <c r="K125" s="1" t="s">
        <v>16</v>
      </c>
      <c r="L125" s="1">
        <v>4</v>
      </c>
      <c r="M125" s="1" t="s">
        <v>20</v>
      </c>
      <c r="N125" s="5">
        <f>IF(Tabulka1[[#This Row],[E-shop]]="ano",1,0)</f>
        <v>0</v>
      </c>
      <c r="O125" s="5">
        <f>IF(Tabulka1[[#This Row],[Reklamace]]="ano",1,0)</f>
        <v>1</v>
      </c>
    </row>
    <row r="126" spans="1:15" ht="15.75" customHeight="1" x14ac:dyDescent="0.3">
      <c r="A126" s="1">
        <v>679</v>
      </c>
      <c r="B126" s="2">
        <v>45894</v>
      </c>
      <c r="C126" s="1" t="s">
        <v>36</v>
      </c>
      <c r="D126" s="1" t="s">
        <v>43</v>
      </c>
      <c r="E126" s="1">
        <v>14</v>
      </c>
      <c r="F126" s="1">
        <v>11000</v>
      </c>
      <c r="G126" s="1">
        <v>154000</v>
      </c>
      <c r="H126" s="1">
        <v>29179</v>
      </c>
      <c r="I126" s="1" t="s">
        <v>16</v>
      </c>
      <c r="J126" s="1">
        <v>3</v>
      </c>
      <c r="K126" s="1" t="s">
        <v>15</v>
      </c>
      <c r="L126" s="1">
        <v>7</v>
      </c>
      <c r="M126" s="1" t="s">
        <v>20</v>
      </c>
      <c r="N126" s="5">
        <f>IF(Tabulka1[[#This Row],[E-shop]]="ano",1,0)</f>
        <v>1</v>
      </c>
      <c r="O126" s="5">
        <f>IF(Tabulka1[[#This Row],[Reklamace]]="ano",1,0)</f>
        <v>0</v>
      </c>
    </row>
    <row r="127" spans="1:15" ht="15.75" customHeight="1" x14ac:dyDescent="0.3">
      <c r="A127" s="1">
        <v>773</v>
      </c>
      <c r="B127" s="2">
        <v>45602</v>
      </c>
      <c r="C127" s="1" t="s">
        <v>31</v>
      </c>
      <c r="D127" s="1" t="s">
        <v>48</v>
      </c>
      <c r="E127" s="1">
        <v>7</v>
      </c>
      <c r="F127" s="1">
        <v>22000</v>
      </c>
      <c r="G127" s="1">
        <v>154000</v>
      </c>
      <c r="H127" s="1">
        <v>41962</v>
      </c>
      <c r="I127" s="1" t="s">
        <v>16</v>
      </c>
      <c r="J127" s="1">
        <v>6</v>
      </c>
      <c r="K127" s="1" t="s">
        <v>15</v>
      </c>
      <c r="L127" s="1">
        <v>5</v>
      </c>
      <c r="M127" s="1" t="s">
        <v>20</v>
      </c>
      <c r="N127" s="5">
        <f>IF(Tabulka1[[#This Row],[E-shop]]="ano",1,0)</f>
        <v>1</v>
      </c>
      <c r="O127" s="5">
        <f>IF(Tabulka1[[#This Row],[Reklamace]]="ano",1,0)</f>
        <v>0</v>
      </c>
    </row>
    <row r="128" spans="1:15" ht="15.75" customHeight="1" x14ac:dyDescent="0.3">
      <c r="A128" s="1">
        <v>866</v>
      </c>
      <c r="B128" s="2">
        <v>45322</v>
      </c>
      <c r="C128" s="1" t="s">
        <v>21</v>
      </c>
      <c r="D128" s="1" t="s">
        <v>40</v>
      </c>
      <c r="E128" s="1">
        <v>11</v>
      </c>
      <c r="F128" s="1">
        <v>14000</v>
      </c>
      <c r="G128" s="1">
        <v>154000</v>
      </c>
      <c r="H128" s="1">
        <v>45036</v>
      </c>
      <c r="I128" s="1" t="s">
        <v>15</v>
      </c>
      <c r="J128" s="1">
        <v>8</v>
      </c>
      <c r="K128" s="1" t="s">
        <v>16</v>
      </c>
      <c r="L128" s="1">
        <v>1</v>
      </c>
      <c r="M128" s="1" t="s">
        <v>20</v>
      </c>
      <c r="N128" s="5">
        <f>IF(Tabulka1[[#This Row],[E-shop]]="ano",1,0)</f>
        <v>0</v>
      </c>
      <c r="O128" s="5">
        <f>IF(Tabulka1[[#This Row],[Reklamace]]="ano",1,0)</f>
        <v>1</v>
      </c>
    </row>
    <row r="129" spans="1:15" ht="15.75" customHeight="1" x14ac:dyDescent="0.3">
      <c r="A129" s="1">
        <v>905</v>
      </c>
      <c r="B129" s="2">
        <v>45564</v>
      </c>
      <c r="C129" s="1" t="s">
        <v>25</v>
      </c>
      <c r="D129" s="1" t="s">
        <v>48</v>
      </c>
      <c r="E129" s="1">
        <v>7</v>
      </c>
      <c r="F129" s="1">
        <v>22000</v>
      </c>
      <c r="G129" s="1">
        <v>154000</v>
      </c>
      <c r="H129" s="1">
        <v>39380</v>
      </c>
      <c r="I129" s="1" t="s">
        <v>15</v>
      </c>
      <c r="J129" s="1">
        <v>2</v>
      </c>
      <c r="K129" s="1" t="s">
        <v>15</v>
      </c>
      <c r="L129" s="1">
        <v>9</v>
      </c>
      <c r="M129" s="1" t="s">
        <v>20</v>
      </c>
      <c r="N129" s="5">
        <f>IF(Tabulka1[[#This Row],[E-shop]]="ano",1,0)</f>
        <v>0</v>
      </c>
      <c r="O129" s="5">
        <f>IF(Tabulka1[[#This Row],[Reklamace]]="ano",1,0)</f>
        <v>0</v>
      </c>
    </row>
    <row r="130" spans="1:15" ht="15.75" customHeight="1" x14ac:dyDescent="0.3">
      <c r="A130" s="1">
        <v>228</v>
      </c>
      <c r="B130" s="2">
        <v>45453</v>
      </c>
      <c r="C130" s="1" t="s">
        <v>36</v>
      </c>
      <c r="D130" s="1" t="s">
        <v>22</v>
      </c>
      <c r="E130" s="1">
        <v>10</v>
      </c>
      <c r="F130" s="1">
        <v>15000</v>
      </c>
      <c r="G130" s="1">
        <v>150000</v>
      </c>
      <c r="H130" s="1">
        <v>26281</v>
      </c>
      <c r="I130" s="1" t="s">
        <v>15</v>
      </c>
      <c r="J130" s="1">
        <v>5</v>
      </c>
      <c r="K130" s="1" t="s">
        <v>15</v>
      </c>
      <c r="L130" s="1">
        <v>3</v>
      </c>
      <c r="M130" s="1" t="s">
        <v>17</v>
      </c>
      <c r="N130" s="5">
        <f>IF(Tabulka1[[#This Row],[E-shop]]="ano",1,0)</f>
        <v>0</v>
      </c>
      <c r="O130" s="5">
        <f>IF(Tabulka1[[#This Row],[Reklamace]]="ano",1,0)</f>
        <v>0</v>
      </c>
    </row>
    <row r="131" spans="1:15" ht="15.75" customHeight="1" x14ac:dyDescent="0.3">
      <c r="A131" s="1">
        <v>646</v>
      </c>
      <c r="B131" s="2">
        <v>45882</v>
      </c>
      <c r="C131" s="1" t="s">
        <v>25</v>
      </c>
      <c r="D131" s="1" t="s">
        <v>47</v>
      </c>
      <c r="E131" s="1">
        <v>6</v>
      </c>
      <c r="F131" s="1">
        <v>25000</v>
      </c>
      <c r="G131" s="1">
        <v>150000</v>
      </c>
      <c r="H131" s="1">
        <v>25794</v>
      </c>
      <c r="I131" s="1" t="s">
        <v>15</v>
      </c>
      <c r="J131" s="1">
        <v>8</v>
      </c>
      <c r="K131" s="1" t="s">
        <v>15</v>
      </c>
      <c r="L131" s="1">
        <v>1</v>
      </c>
      <c r="M131" s="1" t="s">
        <v>17</v>
      </c>
      <c r="N131" s="5">
        <f>IF(Tabulka1[[#This Row],[E-shop]]="ano",1,0)</f>
        <v>0</v>
      </c>
      <c r="O131" s="5">
        <f>IF(Tabulka1[[#This Row],[Reklamace]]="ano",1,0)</f>
        <v>0</v>
      </c>
    </row>
    <row r="132" spans="1:15" ht="15.75" customHeight="1" x14ac:dyDescent="0.3">
      <c r="A132" s="1">
        <v>758</v>
      </c>
      <c r="B132" s="2">
        <v>45542</v>
      </c>
      <c r="C132" s="1" t="s">
        <v>13</v>
      </c>
      <c r="D132" s="1" t="s">
        <v>47</v>
      </c>
      <c r="E132" s="1">
        <v>6</v>
      </c>
      <c r="F132" s="1">
        <v>25000</v>
      </c>
      <c r="G132" s="1">
        <v>150000</v>
      </c>
      <c r="H132" s="1">
        <v>34373</v>
      </c>
      <c r="I132" s="1" t="s">
        <v>15</v>
      </c>
      <c r="J132" s="1">
        <v>2</v>
      </c>
      <c r="K132" s="1" t="s">
        <v>15</v>
      </c>
      <c r="L132" s="1">
        <v>6</v>
      </c>
      <c r="M132" s="1" t="s">
        <v>20</v>
      </c>
      <c r="N132" s="5">
        <f>IF(Tabulka1[[#This Row],[E-shop]]="ano",1,0)</f>
        <v>0</v>
      </c>
      <c r="O132" s="5">
        <f>IF(Tabulka1[[#This Row],[Reklamace]]="ano",1,0)</f>
        <v>0</v>
      </c>
    </row>
    <row r="133" spans="1:15" ht="15.75" customHeight="1" x14ac:dyDescent="0.3">
      <c r="A133" s="1">
        <v>10</v>
      </c>
      <c r="B133" s="2">
        <v>45412</v>
      </c>
      <c r="C133" s="1" t="s">
        <v>18</v>
      </c>
      <c r="D133" s="1" t="s">
        <v>28</v>
      </c>
      <c r="E133" s="1">
        <v>8</v>
      </c>
      <c r="F133" s="1">
        <v>18000</v>
      </c>
      <c r="G133" s="1">
        <v>144000</v>
      </c>
      <c r="H133" s="1">
        <f>9754*4</f>
        <v>39016</v>
      </c>
      <c r="I133" s="1" t="s">
        <v>15</v>
      </c>
      <c r="J133" s="1">
        <v>4</v>
      </c>
      <c r="K133" s="1" t="s">
        <v>15</v>
      </c>
      <c r="L133" s="1">
        <v>5</v>
      </c>
      <c r="M133" s="1" t="s">
        <v>20</v>
      </c>
      <c r="N133" s="5">
        <f>IF(Tabulka1[[#This Row],[E-shop]]="ano",1,0)</f>
        <v>0</v>
      </c>
      <c r="O133" s="5">
        <f>IF(Tabulka1[[#This Row],[Reklamace]]="ano",1,0)</f>
        <v>0</v>
      </c>
    </row>
    <row r="134" spans="1:15" ht="15.75" customHeight="1" x14ac:dyDescent="0.3">
      <c r="A134" s="1">
        <v>76</v>
      </c>
      <c r="B134" s="2">
        <v>45639</v>
      </c>
      <c r="C134" s="1" t="s">
        <v>25</v>
      </c>
      <c r="D134" s="1" t="s">
        <v>28</v>
      </c>
      <c r="E134" s="1">
        <v>8</v>
      </c>
      <c r="F134" s="1">
        <v>18000</v>
      </c>
      <c r="G134" s="1">
        <v>144000</v>
      </c>
      <c r="H134" s="1">
        <v>34917</v>
      </c>
      <c r="I134" s="1" t="s">
        <v>15</v>
      </c>
      <c r="J134" s="1">
        <v>4</v>
      </c>
      <c r="K134" s="1" t="s">
        <v>16</v>
      </c>
      <c r="L134" s="1">
        <v>6</v>
      </c>
      <c r="M134" s="1" t="s">
        <v>20</v>
      </c>
      <c r="N134" s="5">
        <f>IF(Tabulka1[[#This Row],[E-shop]]="ano",1,0)</f>
        <v>0</v>
      </c>
      <c r="O134" s="5">
        <f>IF(Tabulka1[[#This Row],[Reklamace]]="ano",1,0)</f>
        <v>1</v>
      </c>
    </row>
    <row r="135" spans="1:15" ht="15.75" customHeight="1" x14ac:dyDescent="0.3">
      <c r="A135" s="1">
        <v>123</v>
      </c>
      <c r="B135" s="2">
        <v>45649</v>
      </c>
      <c r="C135" s="1" t="s">
        <v>21</v>
      </c>
      <c r="D135" s="1" t="s">
        <v>14</v>
      </c>
      <c r="E135" s="1">
        <v>12</v>
      </c>
      <c r="F135" s="1">
        <v>12000</v>
      </c>
      <c r="G135" s="1">
        <v>144000</v>
      </c>
      <c r="H135" s="1">
        <v>32024</v>
      </c>
      <c r="I135" s="1" t="s">
        <v>15</v>
      </c>
      <c r="J135" s="1">
        <v>3</v>
      </c>
      <c r="K135" s="1" t="s">
        <v>16</v>
      </c>
      <c r="L135" s="1">
        <v>6</v>
      </c>
      <c r="M135" s="1" t="s">
        <v>20</v>
      </c>
      <c r="N135" s="5">
        <f>IF(Tabulka1[[#This Row],[E-shop]]="ano",1,0)</f>
        <v>0</v>
      </c>
      <c r="O135" s="5">
        <f>IF(Tabulka1[[#This Row],[Reklamace]]="ano",1,0)</f>
        <v>1</v>
      </c>
    </row>
    <row r="136" spans="1:15" ht="15.75" customHeight="1" x14ac:dyDescent="0.3">
      <c r="A136" s="1">
        <v>189</v>
      </c>
      <c r="B136" s="2">
        <v>45811</v>
      </c>
      <c r="C136" s="1" t="s">
        <v>23</v>
      </c>
      <c r="D136" s="1" t="s">
        <v>35</v>
      </c>
      <c r="E136" s="1">
        <v>12</v>
      </c>
      <c r="F136" s="1">
        <v>12000</v>
      </c>
      <c r="G136" s="1">
        <v>144000</v>
      </c>
      <c r="H136" s="1">
        <v>42925</v>
      </c>
      <c r="I136" s="1" t="s">
        <v>16</v>
      </c>
      <c r="J136" s="1">
        <v>4</v>
      </c>
      <c r="K136" s="1" t="s">
        <v>15</v>
      </c>
      <c r="L136" s="1">
        <v>4</v>
      </c>
      <c r="M136" s="1" t="s">
        <v>20</v>
      </c>
      <c r="N136" s="5">
        <f>IF(Tabulka1[[#This Row],[E-shop]]="ano",1,0)</f>
        <v>1</v>
      </c>
      <c r="O136" s="5">
        <f>IF(Tabulka1[[#This Row],[Reklamace]]="ano",1,0)</f>
        <v>0</v>
      </c>
    </row>
    <row r="137" spans="1:15" ht="15.75" customHeight="1" x14ac:dyDescent="0.3">
      <c r="A137" s="1">
        <v>385</v>
      </c>
      <c r="B137" s="2">
        <v>45825</v>
      </c>
      <c r="C137" s="1" t="s">
        <v>23</v>
      </c>
      <c r="D137" s="1" t="s">
        <v>35</v>
      </c>
      <c r="E137" s="1">
        <v>12</v>
      </c>
      <c r="F137" s="1">
        <v>12000</v>
      </c>
      <c r="G137" s="1">
        <v>144000</v>
      </c>
      <c r="H137" s="1">
        <v>41138</v>
      </c>
      <c r="I137" s="1" t="s">
        <v>16</v>
      </c>
      <c r="J137" s="1">
        <v>5</v>
      </c>
      <c r="K137" s="1" t="s">
        <v>15</v>
      </c>
      <c r="L137" s="1">
        <v>6</v>
      </c>
      <c r="M137" s="1" t="s">
        <v>20</v>
      </c>
      <c r="N137" s="5">
        <f>IF(Tabulka1[[#This Row],[E-shop]]="ano",1,0)</f>
        <v>1</v>
      </c>
      <c r="O137" s="5">
        <f>IF(Tabulka1[[#This Row],[Reklamace]]="ano",1,0)</f>
        <v>0</v>
      </c>
    </row>
    <row r="138" spans="1:15" ht="15.75" customHeight="1" x14ac:dyDescent="0.3">
      <c r="A138" s="1">
        <v>424</v>
      </c>
      <c r="B138" s="2">
        <v>45806</v>
      </c>
      <c r="C138" s="1" t="s">
        <v>31</v>
      </c>
      <c r="D138" s="1" t="s">
        <v>35</v>
      </c>
      <c r="E138" s="1">
        <v>12</v>
      </c>
      <c r="F138" s="1">
        <v>12000</v>
      </c>
      <c r="G138" s="1">
        <v>144000</v>
      </c>
      <c r="H138" s="1">
        <v>26288</v>
      </c>
      <c r="I138" s="1" t="s">
        <v>15</v>
      </c>
      <c r="J138" s="1">
        <v>5</v>
      </c>
      <c r="K138" s="1" t="s">
        <v>15</v>
      </c>
      <c r="L138" s="1">
        <v>6</v>
      </c>
      <c r="M138" s="1" t="s">
        <v>20</v>
      </c>
      <c r="N138" s="5">
        <f>IF(Tabulka1[[#This Row],[E-shop]]="ano",1,0)</f>
        <v>0</v>
      </c>
      <c r="O138" s="5">
        <f>IF(Tabulka1[[#This Row],[Reklamace]]="ano",1,0)</f>
        <v>0</v>
      </c>
    </row>
    <row r="139" spans="1:15" ht="15.75" customHeight="1" x14ac:dyDescent="0.3">
      <c r="A139" s="1">
        <v>526</v>
      </c>
      <c r="B139" s="2">
        <v>45938</v>
      </c>
      <c r="C139" s="1" t="s">
        <v>21</v>
      </c>
      <c r="D139" s="1" t="s">
        <v>35</v>
      </c>
      <c r="E139" s="1">
        <v>12</v>
      </c>
      <c r="F139" s="1">
        <v>12000</v>
      </c>
      <c r="G139" s="1">
        <v>144000</v>
      </c>
      <c r="H139" s="1">
        <v>26809</v>
      </c>
      <c r="I139" s="1" t="s">
        <v>15</v>
      </c>
      <c r="J139" s="1">
        <v>4</v>
      </c>
      <c r="K139" s="1" t="s">
        <v>16</v>
      </c>
      <c r="L139" s="1">
        <v>4</v>
      </c>
      <c r="M139" s="1" t="s">
        <v>20</v>
      </c>
      <c r="N139" s="5">
        <f>IF(Tabulka1[[#This Row],[E-shop]]="ano",1,0)</f>
        <v>0</v>
      </c>
      <c r="O139" s="5">
        <f>IF(Tabulka1[[#This Row],[Reklamace]]="ano",1,0)</f>
        <v>1</v>
      </c>
    </row>
    <row r="140" spans="1:15" ht="15.75" customHeight="1" x14ac:dyDescent="0.3">
      <c r="A140" s="1">
        <v>649</v>
      </c>
      <c r="B140" s="2">
        <v>45428</v>
      </c>
      <c r="C140" s="1" t="s">
        <v>36</v>
      </c>
      <c r="D140" s="1" t="s">
        <v>14</v>
      </c>
      <c r="E140" s="1">
        <v>12</v>
      </c>
      <c r="F140" s="1">
        <v>12000</v>
      </c>
      <c r="G140" s="1">
        <v>144000</v>
      </c>
      <c r="H140" s="1">
        <v>43167</v>
      </c>
      <c r="I140" s="1" t="s">
        <v>16</v>
      </c>
      <c r="J140" s="1">
        <v>6</v>
      </c>
      <c r="K140" s="1" t="s">
        <v>16</v>
      </c>
      <c r="L140" s="1">
        <v>4</v>
      </c>
      <c r="M140" s="1" t="s">
        <v>20</v>
      </c>
      <c r="N140" s="5">
        <f>IF(Tabulka1[[#This Row],[E-shop]]="ano",1,0)</f>
        <v>1</v>
      </c>
      <c r="O140" s="5">
        <f>IF(Tabulka1[[#This Row],[Reklamace]]="ano",1,0)</f>
        <v>1</v>
      </c>
    </row>
    <row r="141" spans="1:15" ht="15.75" customHeight="1" x14ac:dyDescent="0.3">
      <c r="A141" s="1">
        <v>779</v>
      </c>
      <c r="B141" s="2">
        <v>45968</v>
      </c>
      <c r="C141" s="1" t="s">
        <v>21</v>
      </c>
      <c r="D141" s="1" t="s">
        <v>26</v>
      </c>
      <c r="E141" s="1">
        <v>12</v>
      </c>
      <c r="F141" s="1">
        <v>12000</v>
      </c>
      <c r="G141" s="1">
        <v>144000</v>
      </c>
      <c r="H141" s="1">
        <v>22259</v>
      </c>
      <c r="I141" s="1" t="s">
        <v>15</v>
      </c>
      <c r="J141" s="1">
        <v>5</v>
      </c>
      <c r="K141" s="1" t="s">
        <v>15</v>
      </c>
      <c r="L141" s="1">
        <v>3</v>
      </c>
      <c r="M141" s="1" t="s">
        <v>20</v>
      </c>
      <c r="N141" s="5">
        <f>IF(Tabulka1[[#This Row],[E-shop]]="ano",1,0)</f>
        <v>0</v>
      </c>
      <c r="O141" s="5">
        <f>IF(Tabulka1[[#This Row],[Reklamace]]="ano",1,0)</f>
        <v>0</v>
      </c>
    </row>
    <row r="142" spans="1:15" ht="15.75" customHeight="1" x14ac:dyDescent="0.3">
      <c r="A142" s="1">
        <v>910</v>
      </c>
      <c r="B142" s="2">
        <v>45308</v>
      </c>
      <c r="C142" s="1" t="s">
        <v>23</v>
      </c>
      <c r="D142" s="1" t="s">
        <v>26</v>
      </c>
      <c r="E142" s="1">
        <v>12</v>
      </c>
      <c r="F142" s="1">
        <v>12000</v>
      </c>
      <c r="G142" s="1">
        <v>144000</v>
      </c>
      <c r="H142" s="1">
        <v>22752</v>
      </c>
      <c r="I142" s="1" t="s">
        <v>16</v>
      </c>
      <c r="J142" s="1">
        <v>8</v>
      </c>
      <c r="K142" s="1" t="s">
        <v>16</v>
      </c>
      <c r="L142" s="1">
        <v>1</v>
      </c>
      <c r="M142" s="1" t="s">
        <v>17</v>
      </c>
      <c r="N142" s="5">
        <f>IF(Tabulka1[[#This Row],[E-shop]]="ano",1,0)</f>
        <v>1</v>
      </c>
      <c r="O142" s="5">
        <f>IF(Tabulka1[[#This Row],[Reklamace]]="ano",1,0)</f>
        <v>1</v>
      </c>
    </row>
    <row r="143" spans="1:15" ht="15.75" customHeight="1" x14ac:dyDescent="0.3">
      <c r="A143" s="1">
        <v>954</v>
      </c>
      <c r="B143" s="2">
        <v>45473</v>
      </c>
      <c r="C143" s="1" t="s">
        <v>23</v>
      </c>
      <c r="D143" s="1" t="s">
        <v>14</v>
      </c>
      <c r="E143" s="1">
        <v>12</v>
      </c>
      <c r="F143" s="1">
        <v>12000</v>
      </c>
      <c r="G143" s="1">
        <v>144000</v>
      </c>
      <c r="H143" s="1">
        <v>32044</v>
      </c>
      <c r="I143" s="1" t="s">
        <v>15</v>
      </c>
      <c r="J143" s="1">
        <v>7</v>
      </c>
      <c r="K143" s="1" t="s">
        <v>16</v>
      </c>
      <c r="L143" s="1">
        <v>1</v>
      </c>
      <c r="M143" s="1" t="s">
        <v>20</v>
      </c>
      <c r="N143" s="5">
        <f>IF(Tabulka1[[#This Row],[E-shop]]="ano",1,0)</f>
        <v>0</v>
      </c>
      <c r="O143" s="5">
        <f>IF(Tabulka1[[#This Row],[Reklamace]]="ano",1,0)</f>
        <v>1</v>
      </c>
    </row>
    <row r="144" spans="1:15" ht="15.75" customHeight="1" x14ac:dyDescent="0.3">
      <c r="A144" s="1">
        <v>108</v>
      </c>
      <c r="B144" s="2">
        <v>45782</v>
      </c>
      <c r="C144" s="1" t="s">
        <v>23</v>
      </c>
      <c r="D144" s="1" t="s">
        <v>44</v>
      </c>
      <c r="E144" s="1">
        <v>14</v>
      </c>
      <c r="F144" s="1">
        <v>10000</v>
      </c>
      <c r="G144" s="1">
        <v>140000</v>
      </c>
      <c r="H144" s="1">
        <v>32143</v>
      </c>
      <c r="I144" s="1" t="s">
        <v>15</v>
      </c>
      <c r="J144" s="1">
        <v>5</v>
      </c>
      <c r="K144" s="1" t="s">
        <v>16</v>
      </c>
      <c r="L144" s="1">
        <v>4</v>
      </c>
      <c r="M144" s="1" t="s">
        <v>17</v>
      </c>
      <c r="N144" s="5">
        <f>IF(Tabulka1[[#This Row],[E-shop]]="ano",1,0)</f>
        <v>0</v>
      </c>
      <c r="O144" s="5">
        <f>IF(Tabulka1[[#This Row],[Reklamace]]="ano",1,0)</f>
        <v>1</v>
      </c>
    </row>
    <row r="145" spans="1:15" ht="15.75" customHeight="1" x14ac:dyDescent="0.3">
      <c r="A145" s="1">
        <v>269</v>
      </c>
      <c r="B145" s="2">
        <v>45612</v>
      </c>
      <c r="C145" s="1" t="s">
        <v>31</v>
      </c>
      <c r="D145" s="1" t="s">
        <v>29</v>
      </c>
      <c r="E145" s="1">
        <v>7</v>
      </c>
      <c r="F145" s="1">
        <v>20000</v>
      </c>
      <c r="G145" s="1">
        <v>140000</v>
      </c>
      <c r="H145" s="1">
        <v>30862</v>
      </c>
      <c r="I145" s="1" t="s">
        <v>15</v>
      </c>
      <c r="J145" s="1">
        <v>2</v>
      </c>
      <c r="K145" s="1" t="s">
        <v>16</v>
      </c>
      <c r="L145" s="1">
        <v>7</v>
      </c>
      <c r="M145" s="1" t="s">
        <v>20</v>
      </c>
      <c r="N145" s="5">
        <f>IF(Tabulka1[[#This Row],[E-shop]]="ano",1,0)</f>
        <v>0</v>
      </c>
      <c r="O145" s="5">
        <f>IF(Tabulka1[[#This Row],[Reklamace]]="ano",1,0)</f>
        <v>1</v>
      </c>
    </row>
    <row r="146" spans="1:15" ht="15.75" customHeight="1" x14ac:dyDescent="0.3">
      <c r="A146" s="1">
        <v>307</v>
      </c>
      <c r="B146" s="2">
        <v>45726</v>
      </c>
      <c r="C146" s="1" t="s">
        <v>23</v>
      </c>
      <c r="D146" s="1" t="s">
        <v>44</v>
      </c>
      <c r="E146" s="1">
        <v>14</v>
      </c>
      <c r="F146" s="1">
        <v>10000</v>
      </c>
      <c r="G146" s="1">
        <v>140000</v>
      </c>
      <c r="H146" s="1">
        <v>31327</v>
      </c>
      <c r="I146" s="1" t="s">
        <v>16</v>
      </c>
      <c r="J146" s="1">
        <v>3</v>
      </c>
      <c r="K146" s="1" t="s">
        <v>15</v>
      </c>
      <c r="L146" s="1">
        <v>7</v>
      </c>
      <c r="M146" s="1" t="s">
        <v>20</v>
      </c>
      <c r="N146" s="5">
        <f>IF(Tabulka1[[#This Row],[E-shop]]="ano",1,0)</f>
        <v>1</v>
      </c>
      <c r="O146" s="5">
        <f>IF(Tabulka1[[#This Row],[Reklamace]]="ano",1,0)</f>
        <v>0</v>
      </c>
    </row>
    <row r="147" spans="1:15" ht="15.75" customHeight="1" x14ac:dyDescent="0.3">
      <c r="A147" s="1">
        <v>418</v>
      </c>
      <c r="B147" s="2">
        <v>45370</v>
      </c>
      <c r="C147" s="1" t="s">
        <v>13</v>
      </c>
      <c r="D147" s="1" t="s">
        <v>29</v>
      </c>
      <c r="E147" s="1">
        <v>7</v>
      </c>
      <c r="F147" s="1">
        <v>20000</v>
      </c>
      <c r="G147" s="1">
        <v>140000</v>
      </c>
      <c r="H147" s="1">
        <v>30985</v>
      </c>
      <c r="I147" s="1" t="s">
        <v>15</v>
      </c>
      <c r="J147" s="1">
        <v>7</v>
      </c>
      <c r="K147" s="1" t="s">
        <v>16</v>
      </c>
      <c r="L147" s="1">
        <v>1</v>
      </c>
      <c r="M147" s="1" t="s">
        <v>20</v>
      </c>
      <c r="N147" s="5">
        <f>IF(Tabulka1[[#This Row],[E-shop]]="ano",1,0)</f>
        <v>0</v>
      </c>
      <c r="O147" s="5">
        <f>IF(Tabulka1[[#This Row],[Reklamace]]="ano",1,0)</f>
        <v>1</v>
      </c>
    </row>
    <row r="148" spans="1:15" ht="15.75" customHeight="1" x14ac:dyDescent="0.3">
      <c r="A148" s="1">
        <v>482</v>
      </c>
      <c r="B148" s="2">
        <v>45996</v>
      </c>
      <c r="C148" s="1" t="s">
        <v>25</v>
      </c>
      <c r="D148" s="1" t="s">
        <v>44</v>
      </c>
      <c r="E148" s="1">
        <v>14</v>
      </c>
      <c r="F148" s="1">
        <v>10000</v>
      </c>
      <c r="G148" s="1">
        <v>140000</v>
      </c>
      <c r="H148" s="1">
        <v>31646</v>
      </c>
      <c r="I148" s="1" t="s">
        <v>15</v>
      </c>
      <c r="J148" s="1">
        <v>5</v>
      </c>
      <c r="K148" s="1" t="s">
        <v>15</v>
      </c>
      <c r="L148" s="1">
        <v>5</v>
      </c>
      <c r="M148" s="1" t="s">
        <v>20</v>
      </c>
      <c r="N148" s="5">
        <f>IF(Tabulka1[[#This Row],[E-shop]]="ano",1,0)</f>
        <v>0</v>
      </c>
      <c r="O148" s="5">
        <f>IF(Tabulka1[[#This Row],[Reklamace]]="ano",1,0)</f>
        <v>0</v>
      </c>
    </row>
    <row r="149" spans="1:15" ht="15.75" customHeight="1" x14ac:dyDescent="0.3">
      <c r="A149" s="1">
        <v>514</v>
      </c>
      <c r="B149" s="2">
        <v>45609</v>
      </c>
      <c r="C149" s="1" t="s">
        <v>23</v>
      </c>
      <c r="D149" s="1" t="s">
        <v>40</v>
      </c>
      <c r="E149" s="1">
        <v>10</v>
      </c>
      <c r="F149" s="1">
        <v>14000</v>
      </c>
      <c r="G149" s="1">
        <v>140000</v>
      </c>
      <c r="H149" s="1">
        <v>35998</v>
      </c>
      <c r="I149" s="1" t="s">
        <v>15</v>
      </c>
      <c r="J149" s="1">
        <v>3</v>
      </c>
      <c r="K149" s="1" t="s">
        <v>15</v>
      </c>
      <c r="L149" s="1">
        <v>6</v>
      </c>
      <c r="M149" s="1" t="s">
        <v>17</v>
      </c>
      <c r="N149" s="5">
        <f>IF(Tabulka1[[#This Row],[E-shop]]="ano",1,0)</f>
        <v>0</v>
      </c>
      <c r="O149" s="5">
        <f>IF(Tabulka1[[#This Row],[Reklamace]]="ano",1,0)</f>
        <v>0</v>
      </c>
    </row>
    <row r="150" spans="1:15" ht="15.75" customHeight="1" x14ac:dyDescent="0.3">
      <c r="A150" s="1">
        <v>548</v>
      </c>
      <c r="B150" s="2">
        <v>45693</v>
      </c>
      <c r="C150" s="1" t="s">
        <v>36</v>
      </c>
      <c r="D150" s="1" t="s">
        <v>32</v>
      </c>
      <c r="E150" s="1">
        <v>14</v>
      </c>
      <c r="F150" s="1">
        <v>10000</v>
      </c>
      <c r="G150" s="1">
        <v>140000</v>
      </c>
      <c r="H150" s="1">
        <v>27607</v>
      </c>
      <c r="I150" s="1" t="s">
        <v>15</v>
      </c>
      <c r="J150" s="1">
        <v>7</v>
      </c>
      <c r="K150" s="1" t="s">
        <v>15</v>
      </c>
      <c r="L150" s="1">
        <v>3</v>
      </c>
      <c r="M150" s="1" t="s">
        <v>17</v>
      </c>
      <c r="N150" s="5">
        <f>IF(Tabulka1[[#This Row],[E-shop]]="ano",1,0)</f>
        <v>0</v>
      </c>
      <c r="O150" s="5">
        <f>IF(Tabulka1[[#This Row],[Reklamace]]="ano",1,0)</f>
        <v>0</v>
      </c>
    </row>
    <row r="151" spans="1:15" ht="15.75" customHeight="1" x14ac:dyDescent="0.3">
      <c r="A151" s="1">
        <v>603</v>
      </c>
      <c r="B151" s="2">
        <v>45926</v>
      </c>
      <c r="C151" s="1" t="s">
        <v>25</v>
      </c>
      <c r="D151" s="1" t="s">
        <v>40</v>
      </c>
      <c r="E151" s="1">
        <v>10</v>
      </c>
      <c r="F151" s="1">
        <v>14000</v>
      </c>
      <c r="G151" s="1">
        <v>140000</v>
      </c>
      <c r="H151" s="1">
        <v>40059</v>
      </c>
      <c r="I151" s="1" t="s">
        <v>15</v>
      </c>
      <c r="J151" s="1">
        <v>4</v>
      </c>
      <c r="K151" s="1" t="s">
        <v>15</v>
      </c>
      <c r="L151" s="1">
        <v>6</v>
      </c>
      <c r="M151" s="1" t="s">
        <v>20</v>
      </c>
      <c r="N151" s="5">
        <f>IF(Tabulka1[[#This Row],[E-shop]]="ano",1,0)</f>
        <v>0</v>
      </c>
      <c r="O151" s="5">
        <f>IF(Tabulka1[[#This Row],[Reklamace]]="ano",1,0)</f>
        <v>0</v>
      </c>
    </row>
    <row r="152" spans="1:15" ht="15.75" customHeight="1" x14ac:dyDescent="0.3">
      <c r="A152" s="1">
        <v>784</v>
      </c>
      <c r="B152" s="2">
        <v>45663</v>
      </c>
      <c r="C152" s="1" t="s">
        <v>21</v>
      </c>
      <c r="D152" s="1" t="s">
        <v>32</v>
      </c>
      <c r="E152" s="1">
        <v>14</v>
      </c>
      <c r="F152" s="1">
        <v>10000</v>
      </c>
      <c r="G152" s="1">
        <v>140000</v>
      </c>
      <c r="H152" s="1">
        <v>35973</v>
      </c>
      <c r="I152" s="1" t="s">
        <v>15</v>
      </c>
      <c r="J152" s="1">
        <v>8</v>
      </c>
      <c r="K152" s="1" t="s">
        <v>15</v>
      </c>
      <c r="L152" s="1">
        <v>1</v>
      </c>
      <c r="M152" s="1" t="s">
        <v>20</v>
      </c>
      <c r="N152" s="5">
        <f>IF(Tabulka1[[#This Row],[E-shop]]="ano",1,0)</f>
        <v>0</v>
      </c>
      <c r="O152" s="5">
        <f>IF(Tabulka1[[#This Row],[Reklamace]]="ano",1,0)</f>
        <v>0</v>
      </c>
    </row>
    <row r="153" spans="1:15" ht="15.75" customHeight="1" x14ac:dyDescent="0.3">
      <c r="A153" s="1">
        <v>970</v>
      </c>
      <c r="B153" s="2">
        <v>45528</v>
      </c>
      <c r="C153" s="1" t="s">
        <v>36</v>
      </c>
      <c r="D153" s="1" t="s">
        <v>40</v>
      </c>
      <c r="E153" s="1">
        <v>10</v>
      </c>
      <c r="F153" s="1">
        <v>14000</v>
      </c>
      <c r="G153" s="1">
        <v>140000</v>
      </c>
      <c r="H153" s="1">
        <v>22963</v>
      </c>
      <c r="I153" s="1" t="s">
        <v>15</v>
      </c>
      <c r="J153" s="1">
        <v>5</v>
      </c>
      <c r="K153" s="1" t="s">
        <v>15</v>
      </c>
      <c r="L153" s="1">
        <v>3</v>
      </c>
      <c r="M153" s="1" t="s">
        <v>20</v>
      </c>
      <c r="N153" s="5">
        <f>IF(Tabulka1[[#This Row],[E-shop]]="ano",1,0)</f>
        <v>0</v>
      </c>
      <c r="O153" s="5">
        <f>IF(Tabulka1[[#This Row],[Reklamace]]="ano",1,0)</f>
        <v>0</v>
      </c>
    </row>
    <row r="154" spans="1:15" ht="15.75" customHeight="1" x14ac:dyDescent="0.3">
      <c r="A154" s="1">
        <v>344</v>
      </c>
      <c r="B154" s="2">
        <v>45681</v>
      </c>
      <c r="C154" s="1" t="s">
        <v>25</v>
      </c>
      <c r="D154" s="1" t="s">
        <v>22</v>
      </c>
      <c r="E154" s="1">
        <v>9</v>
      </c>
      <c r="F154" s="1">
        <v>15000</v>
      </c>
      <c r="G154" s="1">
        <v>135000</v>
      </c>
      <c r="H154" s="1">
        <v>37918</v>
      </c>
      <c r="I154" s="1" t="s">
        <v>15</v>
      </c>
      <c r="J154" s="1">
        <v>6</v>
      </c>
      <c r="K154" s="1" t="s">
        <v>16</v>
      </c>
      <c r="L154" s="1">
        <v>2</v>
      </c>
      <c r="M154" s="1" t="s">
        <v>20</v>
      </c>
      <c r="N154" s="5">
        <f>IF(Tabulka1[[#This Row],[E-shop]]="ano",1,0)</f>
        <v>0</v>
      </c>
      <c r="O154" s="5">
        <f>IF(Tabulka1[[#This Row],[Reklamace]]="ano",1,0)</f>
        <v>1</v>
      </c>
    </row>
    <row r="155" spans="1:15" ht="15.75" customHeight="1" x14ac:dyDescent="0.3">
      <c r="A155" s="1">
        <v>628</v>
      </c>
      <c r="B155" s="2">
        <v>45622</v>
      </c>
      <c r="C155" s="1" t="s">
        <v>23</v>
      </c>
      <c r="D155" s="1" t="s">
        <v>22</v>
      </c>
      <c r="E155" s="1">
        <v>9</v>
      </c>
      <c r="F155" s="1">
        <v>15000</v>
      </c>
      <c r="G155" s="1">
        <v>135000</v>
      </c>
      <c r="H155" s="1">
        <v>26202</v>
      </c>
      <c r="I155" s="1" t="s">
        <v>16</v>
      </c>
      <c r="J155" s="1">
        <v>7</v>
      </c>
      <c r="K155" s="1" t="s">
        <v>15</v>
      </c>
      <c r="L155" s="1">
        <v>2</v>
      </c>
      <c r="M155" s="1" t="s">
        <v>20</v>
      </c>
      <c r="N155" s="5">
        <f>IF(Tabulka1[[#This Row],[E-shop]]="ano",1,0)</f>
        <v>1</v>
      </c>
      <c r="O155" s="5">
        <f>IF(Tabulka1[[#This Row],[Reklamace]]="ano",1,0)</f>
        <v>0</v>
      </c>
    </row>
    <row r="156" spans="1:15" ht="15.75" customHeight="1" x14ac:dyDescent="0.3">
      <c r="A156" s="1">
        <v>262</v>
      </c>
      <c r="B156" s="2">
        <v>45566</v>
      </c>
      <c r="C156" s="1" t="s">
        <v>13</v>
      </c>
      <c r="D156" s="1" t="s">
        <v>48</v>
      </c>
      <c r="E156" s="1">
        <v>6</v>
      </c>
      <c r="F156" s="1">
        <v>22000</v>
      </c>
      <c r="G156" s="1">
        <v>132000</v>
      </c>
      <c r="H156" s="1">
        <v>34576</v>
      </c>
      <c r="I156" s="1" t="s">
        <v>15</v>
      </c>
      <c r="J156" s="1">
        <v>3</v>
      </c>
      <c r="K156" s="1" t="s">
        <v>15</v>
      </c>
      <c r="L156" s="1">
        <v>5</v>
      </c>
      <c r="M156" s="1" t="s">
        <v>20</v>
      </c>
      <c r="N156" s="5">
        <f>IF(Tabulka1[[#This Row],[E-shop]]="ano",1,0)</f>
        <v>0</v>
      </c>
      <c r="O156" s="5">
        <f>IF(Tabulka1[[#This Row],[Reklamace]]="ano",1,0)</f>
        <v>0</v>
      </c>
    </row>
    <row r="157" spans="1:15" ht="15.75" customHeight="1" x14ac:dyDescent="0.3">
      <c r="A157" s="1">
        <v>279</v>
      </c>
      <c r="B157" s="2">
        <v>45863</v>
      </c>
      <c r="C157" s="1" t="s">
        <v>31</v>
      </c>
      <c r="D157" s="1" t="s">
        <v>48</v>
      </c>
      <c r="E157" s="1">
        <v>6</v>
      </c>
      <c r="F157" s="1">
        <v>22000</v>
      </c>
      <c r="G157" s="1">
        <v>132000</v>
      </c>
      <c r="H157" s="1">
        <v>22019</v>
      </c>
      <c r="I157" s="1" t="s">
        <v>16</v>
      </c>
      <c r="J157" s="1">
        <v>7</v>
      </c>
      <c r="K157" s="1" t="s">
        <v>16</v>
      </c>
      <c r="L157" s="1">
        <v>2</v>
      </c>
      <c r="M157" s="1" t="s">
        <v>20</v>
      </c>
      <c r="N157" s="5">
        <f>IF(Tabulka1[[#This Row],[E-shop]]="ano",1,0)</f>
        <v>1</v>
      </c>
      <c r="O157" s="5">
        <f>IF(Tabulka1[[#This Row],[Reklamace]]="ano",1,0)</f>
        <v>1</v>
      </c>
    </row>
    <row r="158" spans="1:15" ht="15.75" customHeight="1" x14ac:dyDescent="0.3">
      <c r="A158" s="1">
        <v>283</v>
      </c>
      <c r="B158" s="2">
        <v>45630</v>
      </c>
      <c r="C158" s="1" t="s">
        <v>31</v>
      </c>
      <c r="D158" s="1" t="s">
        <v>14</v>
      </c>
      <c r="E158" s="1">
        <v>11</v>
      </c>
      <c r="F158" s="1">
        <v>12000</v>
      </c>
      <c r="G158" s="1">
        <v>132000</v>
      </c>
      <c r="H158" s="1">
        <v>20759</v>
      </c>
      <c r="I158" s="1" t="s">
        <v>15</v>
      </c>
      <c r="J158" s="1">
        <v>4</v>
      </c>
      <c r="K158" s="1" t="s">
        <v>15</v>
      </c>
      <c r="L158" s="1">
        <v>6</v>
      </c>
      <c r="M158" s="1" t="s">
        <v>20</v>
      </c>
      <c r="N158" s="5">
        <f>IF(Tabulka1[[#This Row],[E-shop]]="ano",1,0)</f>
        <v>0</v>
      </c>
      <c r="O158" s="5">
        <f>IF(Tabulka1[[#This Row],[Reklamace]]="ano",1,0)</f>
        <v>0</v>
      </c>
    </row>
    <row r="159" spans="1:15" ht="15.75" customHeight="1" x14ac:dyDescent="0.3">
      <c r="A159" s="1">
        <v>316</v>
      </c>
      <c r="B159" s="2">
        <v>45526</v>
      </c>
      <c r="C159" s="1" t="s">
        <v>36</v>
      </c>
      <c r="D159" s="1" t="s">
        <v>48</v>
      </c>
      <c r="E159" s="1">
        <v>6</v>
      </c>
      <c r="F159" s="1">
        <v>22000</v>
      </c>
      <c r="G159" s="1">
        <v>132000</v>
      </c>
      <c r="H159" s="1">
        <v>24298</v>
      </c>
      <c r="I159" s="1" t="s">
        <v>15</v>
      </c>
      <c r="J159" s="1">
        <v>4</v>
      </c>
      <c r="K159" s="1" t="s">
        <v>15</v>
      </c>
      <c r="L159" s="1">
        <v>7</v>
      </c>
      <c r="M159" s="1" t="s">
        <v>20</v>
      </c>
      <c r="N159" s="5">
        <f>IF(Tabulka1[[#This Row],[E-shop]]="ano",1,0)</f>
        <v>0</v>
      </c>
      <c r="O159" s="5">
        <f>IF(Tabulka1[[#This Row],[Reklamace]]="ano",1,0)</f>
        <v>0</v>
      </c>
    </row>
    <row r="160" spans="1:15" ht="15.75" customHeight="1" x14ac:dyDescent="0.3">
      <c r="A160" s="1">
        <v>373</v>
      </c>
      <c r="B160" s="2">
        <v>45338</v>
      </c>
      <c r="C160" s="1" t="s">
        <v>31</v>
      </c>
      <c r="D160" s="1" t="s">
        <v>35</v>
      </c>
      <c r="E160" s="1">
        <v>11</v>
      </c>
      <c r="F160" s="1">
        <v>12000</v>
      </c>
      <c r="G160" s="1">
        <v>132000</v>
      </c>
      <c r="H160" s="1">
        <v>33271</v>
      </c>
      <c r="I160" s="1" t="s">
        <v>16</v>
      </c>
      <c r="J160" s="1">
        <v>4</v>
      </c>
      <c r="K160" s="1" t="s">
        <v>16</v>
      </c>
      <c r="L160" s="1">
        <v>5</v>
      </c>
      <c r="M160" s="1" t="s">
        <v>20</v>
      </c>
      <c r="N160" s="5">
        <f>IF(Tabulka1[[#This Row],[E-shop]]="ano",1,0)</f>
        <v>1</v>
      </c>
      <c r="O160" s="5">
        <f>IF(Tabulka1[[#This Row],[Reklamace]]="ano",1,0)</f>
        <v>1</v>
      </c>
    </row>
    <row r="161" spans="1:15" ht="15.75" customHeight="1" x14ac:dyDescent="0.3">
      <c r="A161" s="1">
        <v>401</v>
      </c>
      <c r="B161" s="2">
        <v>45340</v>
      </c>
      <c r="C161" s="1" t="s">
        <v>18</v>
      </c>
      <c r="D161" s="1" t="s">
        <v>43</v>
      </c>
      <c r="E161" s="1">
        <v>12</v>
      </c>
      <c r="F161" s="1">
        <v>11000</v>
      </c>
      <c r="G161" s="1">
        <v>132000</v>
      </c>
      <c r="H161" s="1">
        <v>34501</v>
      </c>
      <c r="I161" s="1" t="s">
        <v>15</v>
      </c>
      <c r="J161" s="1">
        <v>9</v>
      </c>
      <c r="K161" s="1" t="s">
        <v>16</v>
      </c>
      <c r="L161" s="1">
        <v>1</v>
      </c>
      <c r="M161" s="1" t="s">
        <v>20</v>
      </c>
      <c r="N161" s="5">
        <f>IF(Tabulka1[[#This Row],[E-shop]]="ano",1,0)</f>
        <v>0</v>
      </c>
      <c r="O161" s="5">
        <f>IF(Tabulka1[[#This Row],[Reklamace]]="ano",1,0)</f>
        <v>1</v>
      </c>
    </row>
    <row r="162" spans="1:15" ht="15.75" customHeight="1" x14ac:dyDescent="0.3">
      <c r="A162" s="1">
        <v>403</v>
      </c>
      <c r="B162" s="2">
        <v>46006</v>
      </c>
      <c r="C162" s="1" t="s">
        <v>36</v>
      </c>
      <c r="D162" s="1" t="s">
        <v>48</v>
      </c>
      <c r="E162" s="1">
        <v>6</v>
      </c>
      <c r="F162" s="1">
        <v>22000</v>
      </c>
      <c r="G162" s="1">
        <v>132000</v>
      </c>
      <c r="H162" s="1">
        <v>21734</v>
      </c>
      <c r="I162" s="1" t="s">
        <v>15</v>
      </c>
      <c r="J162" s="1">
        <v>3</v>
      </c>
      <c r="K162" s="1" t="s">
        <v>15</v>
      </c>
      <c r="L162" s="1">
        <v>6</v>
      </c>
      <c r="M162" s="1" t="s">
        <v>17</v>
      </c>
      <c r="N162" s="5">
        <f>IF(Tabulka1[[#This Row],[E-shop]]="ano",1,0)</f>
        <v>0</v>
      </c>
      <c r="O162" s="5">
        <f>IF(Tabulka1[[#This Row],[Reklamace]]="ano",1,0)</f>
        <v>0</v>
      </c>
    </row>
    <row r="163" spans="1:15" ht="15.75" customHeight="1" x14ac:dyDescent="0.3">
      <c r="A163" s="1">
        <v>433</v>
      </c>
      <c r="B163" s="2">
        <v>45610</v>
      </c>
      <c r="C163" s="1" t="s">
        <v>18</v>
      </c>
      <c r="D163" s="1" t="s">
        <v>43</v>
      </c>
      <c r="E163" s="1">
        <v>12</v>
      </c>
      <c r="F163" s="1">
        <v>11000</v>
      </c>
      <c r="G163" s="1">
        <v>132000</v>
      </c>
      <c r="H163" s="1">
        <v>30472</v>
      </c>
      <c r="I163" s="1" t="s">
        <v>15</v>
      </c>
      <c r="J163" s="1">
        <v>9</v>
      </c>
      <c r="K163" s="1" t="s">
        <v>16</v>
      </c>
      <c r="L163" s="1">
        <v>2</v>
      </c>
      <c r="M163" s="1" t="s">
        <v>20</v>
      </c>
      <c r="N163" s="5">
        <f>IF(Tabulka1[[#This Row],[E-shop]]="ano",1,0)</f>
        <v>0</v>
      </c>
      <c r="O163" s="5">
        <f>IF(Tabulka1[[#This Row],[Reklamace]]="ano",1,0)</f>
        <v>1</v>
      </c>
    </row>
    <row r="164" spans="1:15" ht="15.75" customHeight="1" x14ac:dyDescent="0.3">
      <c r="A164" s="1">
        <v>463</v>
      </c>
      <c r="B164" s="2">
        <v>45624</v>
      </c>
      <c r="C164" s="1" t="s">
        <v>31</v>
      </c>
      <c r="D164" s="1" t="s">
        <v>26</v>
      </c>
      <c r="E164" s="1">
        <v>11</v>
      </c>
      <c r="F164" s="1">
        <v>12000</v>
      </c>
      <c r="G164" s="1">
        <v>132000</v>
      </c>
      <c r="H164" s="1">
        <v>30455</v>
      </c>
      <c r="I164" s="1" t="s">
        <v>15</v>
      </c>
      <c r="J164" s="1">
        <v>6</v>
      </c>
      <c r="K164" s="1" t="s">
        <v>16</v>
      </c>
      <c r="L164" s="1">
        <v>3</v>
      </c>
      <c r="M164" s="1" t="s">
        <v>20</v>
      </c>
      <c r="N164" s="5">
        <f>IF(Tabulka1[[#This Row],[E-shop]]="ano",1,0)</f>
        <v>0</v>
      </c>
      <c r="O164" s="5">
        <f>IF(Tabulka1[[#This Row],[Reklamace]]="ano",1,0)</f>
        <v>1</v>
      </c>
    </row>
    <row r="165" spans="1:15" ht="15.75" customHeight="1" x14ac:dyDescent="0.3">
      <c r="A165" s="1">
        <v>473</v>
      </c>
      <c r="B165" s="2">
        <v>45820</v>
      </c>
      <c r="C165" s="1" t="s">
        <v>23</v>
      </c>
      <c r="D165" s="1" t="s">
        <v>48</v>
      </c>
      <c r="E165" s="1">
        <v>6</v>
      </c>
      <c r="F165" s="1">
        <v>22000</v>
      </c>
      <c r="G165" s="1">
        <v>132000</v>
      </c>
      <c r="H165" s="1">
        <v>20391</v>
      </c>
      <c r="I165" s="1" t="s">
        <v>15</v>
      </c>
      <c r="J165" s="1">
        <v>7</v>
      </c>
      <c r="K165" s="1" t="s">
        <v>15</v>
      </c>
      <c r="L165" s="1">
        <v>1</v>
      </c>
      <c r="M165" s="1" t="s">
        <v>20</v>
      </c>
      <c r="N165" s="5">
        <f>IF(Tabulka1[[#This Row],[E-shop]]="ano",1,0)</f>
        <v>0</v>
      </c>
      <c r="O165" s="5">
        <f>IF(Tabulka1[[#This Row],[Reklamace]]="ano",1,0)</f>
        <v>0</v>
      </c>
    </row>
    <row r="166" spans="1:15" ht="15.75" customHeight="1" x14ac:dyDescent="0.3">
      <c r="A166" s="1">
        <v>531</v>
      </c>
      <c r="B166" s="2">
        <v>45700</v>
      </c>
      <c r="C166" s="1" t="s">
        <v>18</v>
      </c>
      <c r="D166" s="1" t="s">
        <v>35</v>
      </c>
      <c r="E166" s="1">
        <v>11</v>
      </c>
      <c r="F166" s="1">
        <v>12000</v>
      </c>
      <c r="G166" s="1">
        <v>132000</v>
      </c>
      <c r="H166" s="1">
        <v>31845</v>
      </c>
      <c r="I166" s="1" t="s">
        <v>15</v>
      </c>
      <c r="J166" s="1">
        <v>6</v>
      </c>
      <c r="K166" s="1" t="s">
        <v>16</v>
      </c>
      <c r="L166" s="1">
        <v>3</v>
      </c>
      <c r="M166" s="1" t="s">
        <v>20</v>
      </c>
      <c r="N166" s="5">
        <f>IF(Tabulka1[[#This Row],[E-shop]]="ano",1,0)</f>
        <v>0</v>
      </c>
      <c r="O166" s="5">
        <f>IF(Tabulka1[[#This Row],[Reklamace]]="ano",1,0)</f>
        <v>1</v>
      </c>
    </row>
    <row r="167" spans="1:15" ht="15.75" customHeight="1" x14ac:dyDescent="0.3">
      <c r="A167" s="1">
        <v>577</v>
      </c>
      <c r="B167" s="2">
        <v>45552</v>
      </c>
      <c r="C167" s="1" t="s">
        <v>13</v>
      </c>
      <c r="D167" s="1" t="s">
        <v>48</v>
      </c>
      <c r="E167" s="1">
        <v>6</v>
      </c>
      <c r="F167" s="1">
        <v>22000</v>
      </c>
      <c r="G167" s="1">
        <v>132000</v>
      </c>
      <c r="H167" s="1">
        <v>33127</v>
      </c>
      <c r="I167" s="1" t="s">
        <v>16</v>
      </c>
      <c r="J167" s="1">
        <v>7</v>
      </c>
      <c r="K167" s="1" t="s">
        <v>16</v>
      </c>
      <c r="L167" s="1">
        <v>3</v>
      </c>
      <c r="M167" s="1" t="s">
        <v>20</v>
      </c>
      <c r="N167" s="5">
        <f>IF(Tabulka1[[#This Row],[E-shop]]="ano",1,0)</f>
        <v>1</v>
      </c>
      <c r="O167" s="5">
        <f>IF(Tabulka1[[#This Row],[Reklamace]]="ano",1,0)</f>
        <v>1</v>
      </c>
    </row>
    <row r="168" spans="1:15" ht="15.75" customHeight="1" x14ac:dyDescent="0.3">
      <c r="A168" s="1">
        <v>678</v>
      </c>
      <c r="B168" s="2">
        <v>45449</v>
      </c>
      <c r="C168" s="1" t="s">
        <v>21</v>
      </c>
      <c r="D168" s="1" t="s">
        <v>48</v>
      </c>
      <c r="E168" s="1">
        <v>6</v>
      </c>
      <c r="F168" s="1">
        <v>22000</v>
      </c>
      <c r="G168" s="1">
        <v>132000</v>
      </c>
      <c r="H168" s="1">
        <v>37072</v>
      </c>
      <c r="I168" s="1" t="s">
        <v>15</v>
      </c>
      <c r="J168" s="1">
        <v>8</v>
      </c>
      <c r="K168" s="1" t="s">
        <v>16</v>
      </c>
      <c r="L168" s="1">
        <v>1</v>
      </c>
      <c r="M168" s="1" t="s">
        <v>20</v>
      </c>
      <c r="N168" s="5">
        <f>IF(Tabulka1[[#This Row],[E-shop]]="ano",1,0)</f>
        <v>0</v>
      </c>
      <c r="O168" s="5">
        <f>IF(Tabulka1[[#This Row],[Reklamace]]="ano",1,0)</f>
        <v>1</v>
      </c>
    </row>
    <row r="169" spans="1:15" ht="15.75" customHeight="1" x14ac:dyDescent="0.3">
      <c r="A169" s="1">
        <v>872</v>
      </c>
      <c r="B169" s="2">
        <v>45967</v>
      </c>
      <c r="C169" s="1" t="s">
        <v>23</v>
      </c>
      <c r="D169" s="1" t="s">
        <v>35</v>
      </c>
      <c r="E169" s="1">
        <v>11</v>
      </c>
      <c r="F169" s="1">
        <v>12000</v>
      </c>
      <c r="G169" s="1">
        <v>132000</v>
      </c>
      <c r="H169" s="1">
        <v>31682</v>
      </c>
      <c r="I169" s="1" t="s">
        <v>15</v>
      </c>
      <c r="J169" s="1">
        <v>5</v>
      </c>
      <c r="K169" s="1" t="s">
        <v>15</v>
      </c>
      <c r="L169" s="1">
        <v>6</v>
      </c>
      <c r="M169" s="1" t="s">
        <v>20</v>
      </c>
      <c r="N169" s="5">
        <f>IF(Tabulka1[[#This Row],[E-shop]]="ano",1,0)</f>
        <v>0</v>
      </c>
      <c r="O169" s="5">
        <f>IF(Tabulka1[[#This Row],[Reklamace]]="ano",1,0)</f>
        <v>0</v>
      </c>
    </row>
    <row r="170" spans="1:15" ht="15.75" customHeight="1" x14ac:dyDescent="0.3">
      <c r="A170" s="1">
        <v>922</v>
      </c>
      <c r="B170" s="2">
        <v>45635</v>
      </c>
      <c r="C170" s="1" t="s">
        <v>18</v>
      </c>
      <c r="D170" s="1" t="s">
        <v>48</v>
      </c>
      <c r="E170" s="1">
        <v>6</v>
      </c>
      <c r="F170" s="1">
        <v>22000</v>
      </c>
      <c r="G170" s="1">
        <v>132000</v>
      </c>
      <c r="H170" s="1">
        <v>25747</v>
      </c>
      <c r="I170" s="1" t="s">
        <v>16</v>
      </c>
      <c r="J170" s="1">
        <v>2</v>
      </c>
      <c r="K170" s="1" t="s">
        <v>15</v>
      </c>
      <c r="L170" s="1">
        <v>8</v>
      </c>
      <c r="M170" s="1" t="s">
        <v>17</v>
      </c>
      <c r="N170" s="5">
        <f>IF(Tabulka1[[#This Row],[E-shop]]="ano",1,0)</f>
        <v>1</v>
      </c>
      <c r="O170" s="5">
        <f>IF(Tabulka1[[#This Row],[Reklamace]]="ano",1,0)</f>
        <v>0</v>
      </c>
    </row>
    <row r="171" spans="1:15" ht="15.75" customHeight="1" x14ac:dyDescent="0.3">
      <c r="A171" s="1">
        <v>930</v>
      </c>
      <c r="B171" s="2">
        <v>45658</v>
      </c>
      <c r="C171" s="1" t="s">
        <v>23</v>
      </c>
      <c r="D171" s="1" t="s">
        <v>48</v>
      </c>
      <c r="E171" s="1">
        <v>6</v>
      </c>
      <c r="F171" s="1">
        <v>22000</v>
      </c>
      <c r="G171" s="1">
        <v>132000</v>
      </c>
      <c r="H171" s="1">
        <v>20323</v>
      </c>
      <c r="I171" s="1" t="s">
        <v>16</v>
      </c>
      <c r="J171" s="1">
        <v>6</v>
      </c>
      <c r="K171" s="1" t="s">
        <v>15</v>
      </c>
      <c r="L171" s="1">
        <v>5</v>
      </c>
      <c r="M171" s="1" t="s">
        <v>17</v>
      </c>
      <c r="N171" s="5">
        <f>IF(Tabulka1[[#This Row],[E-shop]]="ano",1,0)</f>
        <v>1</v>
      </c>
      <c r="O171" s="5">
        <f>IF(Tabulka1[[#This Row],[Reklamace]]="ano",1,0)</f>
        <v>0</v>
      </c>
    </row>
    <row r="172" spans="1:15" ht="15.75" customHeight="1" x14ac:dyDescent="0.3">
      <c r="A172" s="1">
        <v>966</v>
      </c>
      <c r="B172" s="2">
        <v>45500</v>
      </c>
      <c r="C172" s="1" t="s">
        <v>13</v>
      </c>
      <c r="D172" s="1" t="s">
        <v>14</v>
      </c>
      <c r="E172" s="1">
        <v>11</v>
      </c>
      <c r="F172" s="1">
        <v>12000</v>
      </c>
      <c r="G172" s="1">
        <v>132000</v>
      </c>
      <c r="H172" s="1">
        <v>25852</v>
      </c>
      <c r="I172" s="1" t="s">
        <v>16</v>
      </c>
      <c r="J172" s="1">
        <v>8</v>
      </c>
      <c r="K172" s="1" t="s">
        <v>16</v>
      </c>
      <c r="L172" s="1">
        <v>2</v>
      </c>
      <c r="M172" s="1" t="s">
        <v>20</v>
      </c>
      <c r="N172" s="5">
        <f>IF(Tabulka1[[#This Row],[E-shop]]="ano",1,0)</f>
        <v>1</v>
      </c>
      <c r="O172" s="5">
        <f>IF(Tabulka1[[#This Row],[Reklamace]]="ano",1,0)</f>
        <v>1</v>
      </c>
    </row>
    <row r="173" spans="1:15" ht="15.75" customHeight="1" x14ac:dyDescent="0.3">
      <c r="A173" s="1">
        <v>983</v>
      </c>
      <c r="B173" s="2">
        <v>45433</v>
      </c>
      <c r="C173" s="1" t="s">
        <v>31</v>
      </c>
      <c r="D173" s="1" t="s">
        <v>35</v>
      </c>
      <c r="E173" s="1">
        <v>11</v>
      </c>
      <c r="F173" s="1">
        <v>12000</v>
      </c>
      <c r="G173" s="1">
        <v>132000</v>
      </c>
      <c r="H173" s="1">
        <v>35684</v>
      </c>
      <c r="I173" s="1" t="s">
        <v>15</v>
      </c>
      <c r="J173" s="1">
        <v>8</v>
      </c>
      <c r="K173" s="1" t="s">
        <v>15</v>
      </c>
      <c r="L173" s="1">
        <v>2</v>
      </c>
      <c r="M173" s="1" t="s">
        <v>20</v>
      </c>
      <c r="N173" s="5">
        <f>IF(Tabulka1[[#This Row],[E-shop]]="ano",1,0)</f>
        <v>0</v>
      </c>
      <c r="O173" s="5">
        <f>IF(Tabulka1[[#This Row],[Reklamace]]="ano",1,0)</f>
        <v>0</v>
      </c>
    </row>
    <row r="174" spans="1:15" ht="15.75" customHeight="1" x14ac:dyDescent="0.3">
      <c r="A174" s="1">
        <v>115</v>
      </c>
      <c r="B174" s="2">
        <v>45433</v>
      </c>
      <c r="C174" s="1" t="s">
        <v>21</v>
      </c>
      <c r="D174" s="1" t="s">
        <v>32</v>
      </c>
      <c r="E174" s="1">
        <v>13</v>
      </c>
      <c r="F174" s="1">
        <v>10000</v>
      </c>
      <c r="G174" s="1">
        <v>130000</v>
      </c>
      <c r="H174" s="1">
        <v>23189</v>
      </c>
      <c r="I174" s="1" t="s">
        <v>15</v>
      </c>
      <c r="J174" s="1">
        <v>7</v>
      </c>
      <c r="K174" s="1" t="s">
        <v>16</v>
      </c>
      <c r="L174" s="1">
        <v>3</v>
      </c>
      <c r="M174" s="1" t="s">
        <v>20</v>
      </c>
      <c r="N174" s="5">
        <f>IF(Tabulka1[[#This Row],[E-shop]]="ano",1,0)</f>
        <v>0</v>
      </c>
      <c r="O174" s="5">
        <f>IF(Tabulka1[[#This Row],[Reklamace]]="ano",1,0)</f>
        <v>1</v>
      </c>
    </row>
    <row r="175" spans="1:15" ht="15.75" customHeight="1" x14ac:dyDescent="0.3">
      <c r="A175" s="1">
        <v>134</v>
      </c>
      <c r="B175" s="2">
        <v>45606</v>
      </c>
      <c r="C175" s="1" t="s">
        <v>18</v>
      </c>
      <c r="D175" s="1" t="s">
        <v>32</v>
      </c>
      <c r="E175" s="1">
        <v>13</v>
      </c>
      <c r="F175" s="1">
        <v>10000</v>
      </c>
      <c r="G175" s="1">
        <v>130000</v>
      </c>
      <c r="H175" s="1">
        <v>38847</v>
      </c>
      <c r="I175" s="1" t="s">
        <v>16</v>
      </c>
      <c r="J175" s="1">
        <v>6</v>
      </c>
      <c r="K175" s="1" t="s">
        <v>16</v>
      </c>
      <c r="L175" s="1">
        <v>2</v>
      </c>
      <c r="M175" s="1" t="s">
        <v>20</v>
      </c>
      <c r="N175" s="5">
        <f>IF(Tabulka1[[#This Row],[E-shop]]="ano",1,0)</f>
        <v>1</v>
      </c>
      <c r="O175" s="5">
        <f>IF(Tabulka1[[#This Row],[Reklamace]]="ano",1,0)</f>
        <v>1</v>
      </c>
    </row>
    <row r="176" spans="1:15" ht="15.75" customHeight="1" x14ac:dyDescent="0.3">
      <c r="A176" s="1">
        <v>136</v>
      </c>
      <c r="B176" s="2">
        <v>45903</v>
      </c>
      <c r="C176" s="1" t="s">
        <v>25</v>
      </c>
      <c r="D176" s="1" t="s">
        <v>32</v>
      </c>
      <c r="E176" s="1">
        <v>13</v>
      </c>
      <c r="F176" s="1">
        <v>10000</v>
      </c>
      <c r="G176" s="1">
        <v>130000</v>
      </c>
      <c r="H176" s="1">
        <v>25612</v>
      </c>
      <c r="I176" s="1" t="s">
        <v>15</v>
      </c>
      <c r="J176" s="1">
        <v>7</v>
      </c>
      <c r="K176" s="1" t="s">
        <v>16</v>
      </c>
      <c r="L176" s="1">
        <v>3</v>
      </c>
      <c r="M176" s="1" t="s">
        <v>20</v>
      </c>
      <c r="N176" s="5">
        <f>IF(Tabulka1[[#This Row],[E-shop]]="ano",1,0)</f>
        <v>0</v>
      </c>
      <c r="O176" s="5">
        <f>IF(Tabulka1[[#This Row],[Reklamace]]="ano",1,0)</f>
        <v>1</v>
      </c>
    </row>
    <row r="177" spans="1:15" ht="15.75" customHeight="1" x14ac:dyDescent="0.3">
      <c r="A177" s="1">
        <v>267</v>
      </c>
      <c r="B177" s="2">
        <v>45922</v>
      </c>
      <c r="C177" s="1" t="s">
        <v>31</v>
      </c>
      <c r="D177" s="1" t="s">
        <v>32</v>
      </c>
      <c r="E177" s="1">
        <v>13</v>
      </c>
      <c r="F177" s="1">
        <v>10000</v>
      </c>
      <c r="G177" s="1">
        <v>130000</v>
      </c>
      <c r="H177" s="1">
        <v>38469</v>
      </c>
      <c r="I177" s="1" t="s">
        <v>15</v>
      </c>
      <c r="J177" s="1">
        <v>5</v>
      </c>
      <c r="K177" s="1" t="s">
        <v>15</v>
      </c>
      <c r="L177" s="1">
        <v>5</v>
      </c>
      <c r="M177" s="1" t="s">
        <v>17</v>
      </c>
      <c r="N177" s="5">
        <f>IF(Tabulka1[[#This Row],[E-shop]]="ano",1,0)</f>
        <v>0</v>
      </c>
      <c r="O177" s="5">
        <f>IF(Tabulka1[[#This Row],[Reklamace]]="ano",1,0)</f>
        <v>0</v>
      </c>
    </row>
    <row r="178" spans="1:15" ht="15.75" customHeight="1" x14ac:dyDescent="0.3">
      <c r="A178" s="1">
        <v>353</v>
      </c>
      <c r="B178" s="2">
        <v>45812</v>
      </c>
      <c r="C178" s="1" t="s">
        <v>13</v>
      </c>
      <c r="D178" s="1" t="s">
        <v>32</v>
      </c>
      <c r="E178" s="1">
        <v>13</v>
      </c>
      <c r="F178" s="1">
        <v>10000</v>
      </c>
      <c r="G178" s="1">
        <v>130000</v>
      </c>
      <c r="H178" s="1">
        <v>34778</v>
      </c>
      <c r="I178" s="1" t="s">
        <v>15</v>
      </c>
      <c r="J178" s="1">
        <v>5</v>
      </c>
      <c r="K178" s="1" t="s">
        <v>15</v>
      </c>
      <c r="L178" s="1">
        <v>6</v>
      </c>
      <c r="M178" s="1" t="s">
        <v>17</v>
      </c>
      <c r="N178" s="5">
        <f>IF(Tabulka1[[#This Row],[E-shop]]="ano",1,0)</f>
        <v>0</v>
      </c>
      <c r="O178" s="5">
        <f>IF(Tabulka1[[#This Row],[Reklamace]]="ano",1,0)</f>
        <v>0</v>
      </c>
    </row>
    <row r="179" spans="1:15" ht="15.75" customHeight="1" x14ac:dyDescent="0.3">
      <c r="A179" s="1">
        <v>497</v>
      </c>
      <c r="B179" s="2">
        <v>45912</v>
      </c>
      <c r="C179" s="1" t="s">
        <v>36</v>
      </c>
      <c r="D179" s="1" t="s">
        <v>32</v>
      </c>
      <c r="E179" s="1">
        <v>13</v>
      </c>
      <c r="F179" s="1">
        <v>10000</v>
      </c>
      <c r="G179" s="1">
        <v>130000</v>
      </c>
      <c r="H179" s="1">
        <v>23388</v>
      </c>
      <c r="I179" s="1" t="s">
        <v>16</v>
      </c>
      <c r="J179" s="1">
        <v>6</v>
      </c>
      <c r="K179" s="1" t="s">
        <v>16</v>
      </c>
      <c r="L179" s="1">
        <v>4</v>
      </c>
      <c r="M179" s="1" t="s">
        <v>20</v>
      </c>
      <c r="N179" s="5">
        <f>IF(Tabulka1[[#This Row],[E-shop]]="ano",1,0)</f>
        <v>1</v>
      </c>
      <c r="O179" s="5">
        <f>IF(Tabulka1[[#This Row],[Reklamace]]="ano",1,0)</f>
        <v>1</v>
      </c>
    </row>
    <row r="180" spans="1:15" ht="15.75" customHeight="1" x14ac:dyDescent="0.3">
      <c r="A180" s="1">
        <v>675</v>
      </c>
      <c r="B180" s="2">
        <v>45486</v>
      </c>
      <c r="C180" s="1" t="s">
        <v>31</v>
      </c>
      <c r="D180" s="1" t="s">
        <v>44</v>
      </c>
      <c r="E180" s="1">
        <v>13</v>
      </c>
      <c r="F180" s="1">
        <v>10000</v>
      </c>
      <c r="G180" s="1">
        <v>130000</v>
      </c>
      <c r="H180" s="1">
        <v>30566</v>
      </c>
      <c r="I180" s="1" t="s">
        <v>15</v>
      </c>
      <c r="J180" s="1">
        <v>3</v>
      </c>
      <c r="K180" s="1" t="s">
        <v>15</v>
      </c>
      <c r="L180" s="1">
        <v>5</v>
      </c>
      <c r="M180" s="1" t="s">
        <v>17</v>
      </c>
      <c r="N180" s="5">
        <f>IF(Tabulka1[[#This Row],[E-shop]]="ano",1,0)</f>
        <v>0</v>
      </c>
      <c r="O180" s="5">
        <f>IF(Tabulka1[[#This Row],[Reklamace]]="ano",1,0)</f>
        <v>0</v>
      </c>
    </row>
    <row r="181" spans="1:15" ht="15.75" customHeight="1" x14ac:dyDescent="0.3">
      <c r="A181" s="1">
        <v>990</v>
      </c>
      <c r="B181" s="2">
        <v>45889</v>
      </c>
      <c r="C181" s="1" t="s">
        <v>31</v>
      </c>
      <c r="D181" s="1" t="s">
        <v>44</v>
      </c>
      <c r="E181" s="1">
        <v>13</v>
      </c>
      <c r="F181" s="1">
        <v>10000</v>
      </c>
      <c r="G181" s="1">
        <v>130000</v>
      </c>
      <c r="H181" s="1">
        <v>20591</v>
      </c>
      <c r="I181" s="1" t="s">
        <v>16</v>
      </c>
      <c r="J181" s="1">
        <v>4</v>
      </c>
      <c r="K181" s="1" t="s">
        <v>16</v>
      </c>
      <c r="L181" s="1">
        <v>4</v>
      </c>
      <c r="M181" s="1" t="s">
        <v>20</v>
      </c>
      <c r="N181" s="5">
        <f>IF(Tabulka1[[#This Row],[E-shop]]="ano",1,0)</f>
        <v>1</v>
      </c>
      <c r="O181" s="5">
        <f>IF(Tabulka1[[#This Row],[Reklamace]]="ano",1,0)</f>
        <v>1</v>
      </c>
    </row>
    <row r="182" spans="1:15" ht="15.75" customHeight="1" x14ac:dyDescent="0.3">
      <c r="A182" s="1">
        <v>28</v>
      </c>
      <c r="B182" s="2">
        <v>45987</v>
      </c>
      <c r="C182" s="1" t="s">
        <v>31</v>
      </c>
      <c r="D182" s="1" t="s">
        <v>40</v>
      </c>
      <c r="E182" s="1">
        <v>9</v>
      </c>
      <c r="F182" s="1">
        <v>14000</v>
      </c>
      <c r="G182" s="1">
        <v>126000</v>
      </c>
      <c r="H182" s="1">
        <v>33496</v>
      </c>
      <c r="I182" s="1" t="s">
        <v>15</v>
      </c>
      <c r="J182" s="1">
        <v>7</v>
      </c>
      <c r="K182" s="1" t="s">
        <v>16</v>
      </c>
      <c r="L182" s="1">
        <v>1</v>
      </c>
      <c r="M182" s="1" t="s">
        <v>20</v>
      </c>
      <c r="N182" s="5">
        <f>IF(Tabulka1[[#This Row],[E-shop]]="ano",1,0)</f>
        <v>0</v>
      </c>
      <c r="O182" s="5">
        <f>IF(Tabulka1[[#This Row],[Reklamace]]="ano",1,0)</f>
        <v>1</v>
      </c>
    </row>
    <row r="183" spans="1:15" ht="15.75" customHeight="1" x14ac:dyDescent="0.3">
      <c r="A183" s="1">
        <v>102</v>
      </c>
      <c r="B183" s="2">
        <v>45714</v>
      </c>
      <c r="C183" s="1" t="s">
        <v>13</v>
      </c>
      <c r="D183" s="1" t="s">
        <v>38</v>
      </c>
      <c r="E183" s="1">
        <v>14</v>
      </c>
      <c r="F183" s="1">
        <v>9000</v>
      </c>
      <c r="G183" s="1">
        <v>126000</v>
      </c>
      <c r="H183" s="1">
        <v>34305</v>
      </c>
      <c r="I183" s="1" t="s">
        <v>16</v>
      </c>
      <c r="J183" s="1">
        <v>4</v>
      </c>
      <c r="K183" s="1" t="s">
        <v>15</v>
      </c>
      <c r="L183" s="1">
        <v>5</v>
      </c>
      <c r="M183" s="1" t="s">
        <v>20</v>
      </c>
      <c r="N183" s="5">
        <f>IF(Tabulka1[[#This Row],[E-shop]]="ano",1,0)</f>
        <v>1</v>
      </c>
      <c r="O183" s="5">
        <f>IF(Tabulka1[[#This Row],[Reklamace]]="ano",1,0)</f>
        <v>0</v>
      </c>
    </row>
    <row r="184" spans="1:15" ht="15.75" customHeight="1" x14ac:dyDescent="0.3">
      <c r="A184" s="1">
        <v>103</v>
      </c>
      <c r="B184" s="2">
        <v>45515</v>
      </c>
      <c r="C184" s="1" t="s">
        <v>36</v>
      </c>
      <c r="D184" s="1" t="s">
        <v>28</v>
      </c>
      <c r="E184" s="1">
        <v>7</v>
      </c>
      <c r="F184" s="1">
        <v>18000</v>
      </c>
      <c r="G184" s="1">
        <v>126000</v>
      </c>
      <c r="H184" s="1">
        <v>35462</v>
      </c>
      <c r="I184" s="1" t="s">
        <v>16</v>
      </c>
      <c r="J184" s="1">
        <v>2</v>
      </c>
      <c r="K184" s="1" t="s">
        <v>15</v>
      </c>
      <c r="L184" s="1">
        <v>9</v>
      </c>
      <c r="M184" s="1" t="s">
        <v>20</v>
      </c>
      <c r="N184" s="5">
        <f>IF(Tabulka1[[#This Row],[E-shop]]="ano",1,0)</f>
        <v>1</v>
      </c>
      <c r="O184" s="5">
        <f>IF(Tabulka1[[#This Row],[Reklamace]]="ano",1,0)</f>
        <v>0</v>
      </c>
    </row>
    <row r="185" spans="1:15" ht="15.75" customHeight="1" x14ac:dyDescent="0.3">
      <c r="A185" s="1">
        <v>247</v>
      </c>
      <c r="B185" s="2">
        <v>45959</v>
      </c>
      <c r="C185" s="1" t="s">
        <v>25</v>
      </c>
      <c r="D185" s="1" t="s">
        <v>38</v>
      </c>
      <c r="E185" s="1">
        <v>14</v>
      </c>
      <c r="F185" s="1">
        <v>9000</v>
      </c>
      <c r="G185" s="1">
        <v>126000</v>
      </c>
      <c r="H185" s="1">
        <v>27682</v>
      </c>
      <c r="I185" s="1" t="s">
        <v>15</v>
      </c>
      <c r="J185" s="1">
        <v>9</v>
      </c>
      <c r="K185" s="1" t="s">
        <v>16</v>
      </c>
      <c r="L185" s="1">
        <v>2</v>
      </c>
      <c r="M185" s="1" t="s">
        <v>20</v>
      </c>
      <c r="N185" s="5">
        <f>IF(Tabulka1[[#This Row],[E-shop]]="ano",1,0)</f>
        <v>0</v>
      </c>
      <c r="O185" s="5">
        <f>IF(Tabulka1[[#This Row],[Reklamace]]="ano",1,0)</f>
        <v>1</v>
      </c>
    </row>
    <row r="186" spans="1:15" ht="15.75" customHeight="1" x14ac:dyDescent="0.3">
      <c r="A186" s="1">
        <v>315</v>
      </c>
      <c r="B186" s="2">
        <v>45302</v>
      </c>
      <c r="C186" s="1" t="s">
        <v>36</v>
      </c>
      <c r="D186" s="1" t="s">
        <v>40</v>
      </c>
      <c r="E186" s="1">
        <v>9</v>
      </c>
      <c r="F186" s="1">
        <v>14000</v>
      </c>
      <c r="G186" s="1">
        <v>126000</v>
      </c>
      <c r="H186" s="1">
        <v>35086</v>
      </c>
      <c r="I186" s="1" t="s">
        <v>15</v>
      </c>
      <c r="J186" s="1">
        <v>4</v>
      </c>
      <c r="K186" s="1" t="s">
        <v>15</v>
      </c>
      <c r="L186" s="1">
        <v>5</v>
      </c>
      <c r="M186" s="1" t="s">
        <v>20</v>
      </c>
      <c r="N186" s="5">
        <f>IF(Tabulka1[[#This Row],[E-shop]]="ano",1,0)</f>
        <v>0</v>
      </c>
      <c r="O186" s="5">
        <f>IF(Tabulka1[[#This Row],[Reklamace]]="ano",1,0)</f>
        <v>0</v>
      </c>
    </row>
    <row r="187" spans="1:15" ht="15.75" customHeight="1" x14ac:dyDescent="0.3">
      <c r="A187" s="1">
        <v>317</v>
      </c>
      <c r="B187" s="2">
        <v>45616</v>
      </c>
      <c r="C187" s="1" t="s">
        <v>36</v>
      </c>
      <c r="D187" s="1" t="s">
        <v>38</v>
      </c>
      <c r="E187" s="1">
        <v>14</v>
      </c>
      <c r="F187" s="1">
        <v>9000</v>
      </c>
      <c r="G187" s="1">
        <v>126000</v>
      </c>
      <c r="H187" s="1">
        <v>21028</v>
      </c>
      <c r="I187" s="1" t="s">
        <v>15</v>
      </c>
      <c r="J187" s="1">
        <v>3</v>
      </c>
      <c r="K187" s="1" t="s">
        <v>15</v>
      </c>
      <c r="L187" s="1">
        <v>5</v>
      </c>
      <c r="M187" s="1" t="s">
        <v>20</v>
      </c>
      <c r="N187" s="5">
        <f>IF(Tabulka1[[#This Row],[E-shop]]="ano",1,0)</f>
        <v>0</v>
      </c>
      <c r="O187" s="5">
        <f>IF(Tabulka1[[#This Row],[Reklamace]]="ano",1,0)</f>
        <v>0</v>
      </c>
    </row>
    <row r="188" spans="1:15" ht="15.75" customHeight="1" x14ac:dyDescent="0.3">
      <c r="A188" s="1">
        <v>518</v>
      </c>
      <c r="B188" s="2">
        <v>45412</v>
      </c>
      <c r="C188" s="1" t="s">
        <v>18</v>
      </c>
      <c r="D188" s="1" t="s">
        <v>40</v>
      </c>
      <c r="E188" s="1">
        <v>9</v>
      </c>
      <c r="F188" s="1">
        <v>14000</v>
      </c>
      <c r="G188" s="1">
        <v>126000</v>
      </c>
      <c r="H188" s="1">
        <v>33533</v>
      </c>
      <c r="I188" s="1" t="s">
        <v>15</v>
      </c>
      <c r="J188" s="1">
        <v>3</v>
      </c>
      <c r="K188" s="1" t="s">
        <v>15</v>
      </c>
      <c r="L188" s="1">
        <v>5</v>
      </c>
      <c r="M188" s="1" t="s">
        <v>20</v>
      </c>
      <c r="N188" s="5">
        <f>IF(Tabulka1[[#This Row],[E-shop]]="ano",1,0)</f>
        <v>0</v>
      </c>
      <c r="O188" s="5">
        <f>IF(Tabulka1[[#This Row],[Reklamace]]="ano",1,0)</f>
        <v>0</v>
      </c>
    </row>
    <row r="189" spans="1:15" ht="15.75" customHeight="1" x14ac:dyDescent="0.3">
      <c r="A189" s="1">
        <v>604</v>
      </c>
      <c r="B189" s="2">
        <v>45684</v>
      </c>
      <c r="C189" s="1" t="s">
        <v>36</v>
      </c>
      <c r="D189" s="1" t="s">
        <v>28</v>
      </c>
      <c r="E189" s="1">
        <v>7</v>
      </c>
      <c r="F189" s="1">
        <v>18000</v>
      </c>
      <c r="G189" s="1">
        <v>126000</v>
      </c>
      <c r="H189" s="1">
        <v>32974</v>
      </c>
      <c r="I189" s="1" t="s">
        <v>15</v>
      </c>
      <c r="J189" s="1">
        <v>3</v>
      </c>
      <c r="K189" s="1" t="s">
        <v>15</v>
      </c>
      <c r="L189" s="1">
        <v>5</v>
      </c>
      <c r="M189" s="1" t="s">
        <v>20</v>
      </c>
      <c r="N189" s="5">
        <f>IF(Tabulka1[[#This Row],[E-shop]]="ano",1,0)</f>
        <v>0</v>
      </c>
      <c r="O189" s="5">
        <f>IF(Tabulka1[[#This Row],[Reklamace]]="ano",1,0)</f>
        <v>0</v>
      </c>
    </row>
    <row r="190" spans="1:15" ht="15.75" customHeight="1" x14ac:dyDescent="0.3">
      <c r="A190" s="1">
        <v>687</v>
      </c>
      <c r="B190" s="2">
        <v>45550</v>
      </c>
      <c r="C190" s="1" t="s">
        <v>13</v>
      </c>
      <c r="D190" s="1" t="s">
        <v>40</v>
      </c>
      <c r="E190" s="1">
        <v>9</v>
      </c>
      <c r="F190" s="1">
        <v>14000</v>
      </c>
      <c r="G190" s="1">
        <v>126000</v>
      </c>
      <c r="H190" s="1">
        <v>35430</v>
      </c>
      <c r="I190" s="1" t="s">
        <v>15</v>
      </c>
      <c r="J190" s="1">
        <v>4</v>
      </c>
      <c r="K190" s="1" t="s">
        <v>15</v>
      </c>
      <c r="L190" s="1">
        <v>5</v>
      </c>
      <c r="M190" s="1" t="s">
        <v>20</v>
      </c>
      <c r="N190" s="5">
        <f>IF(Tabulka1[[#This Row],[E-shop]]="ano",1,0)</f>
        <v>0</v>
      </c>
      <c r="O190" s="5">
        <f>IF(Tabulka1[[#This Row],[Reklamace]]="ano",1,0)</f>
        <v>0</v>
      </c>
    </row>
    <row r="191" spans="1:15" ht="15.75" customHeight="1" x14ac:dyDescent="0.3">
      <c r="A191" s="1">
        <v>863</v>
      </c>
      <c r="B191" s="2">
        <v>45780</v>
      </c>
      <c r="C191" s="1" t="s">
        <v>36</v>
      </c>
      <c r="D191" s="1" t="s">
        <v>38</v>
      </c>
      <c r="E191" s="1">
        <v>14</v>
      </c>
      <c r="F191" s="1">
        <v>9000</v>
      </c>
      <c r="G191" s="1">
        <v>126000</v>
      </c>
      <c r="H191" s="1">
        <v>28026</v>
      </c>
      <c r="I191" s="1" t="s">
        <v>16</v>
      </c>
      <c r="J191" s="1">
        <v>4</v>
      </c>
      <c r="K191" s="1" t="s">
        <v>15</v>
      </c>
      <c r="L191" s="1">
        <v>5</v>
      </c>
      <c r="M191" s="1" t="s">
        <v>20</v>
      </c>
      <c r="N191" s="5">
        <f>IF(Tabulka1[[#This Row],[E-shop]]="ano",1,0)</f>
        <v>1</v>
      </c>
      <c r="O191" s="5">
        <f>IF(Tabulka1[[#This Row],[Reklamace]]="ano",1,0)</f>
        <v>0</v>
      </c>
    </row>
    <row r="192" spans="1:15" ht="15.75" customHeight="1" x14ac:dyDescent="0.3">
      <c r="A192" s="1">
        <v>972</v>
      </c>
      <c r="B192" s="2">
        <v>45840</v>
      </c>
      <c r="C192" s="1" t="s">
        <v>31</v>
      </c>
      <c r="D192" s="1" t="s">
        <v>38</v>
      </c>
      <c r="E192" s="1">
        <v>14</v>
      </c>
      <c r="F192" s="1">
        <v>9000</v>
      </c>
      <c r="G192" s="1">
        <v>126000</v>
      </c>
      <c r="H192" s="1">
        <v>25477</v>
      </c>
      <c r="I192" s="1" t="s">
        <v>16</v>
      </c>
      <c r="J192" s="1">
        <v>9</v>
      </c>
      <c r="K192" s="1" t="s">
        <v>15</v>
      </c>
      <c r="L192" s="1">
        <v>2</v>
      </c>
      <c r="M192" s="1" t="s">
        <v>20</v>
      </c>
      <c r="N192" s="5">
        <f>IF(Tabulka1[[#This Row],[E-shop]]="ano",1,0)</f>
        <v>1</v>
      </c>
      <c r="O192" s="5">
        <f>IF(Tabulka1[[#This Row],[Reklamace]]="ano",1,0)</f>
        <v>0</v>
      </c>
    </row>
    <row r="193" spans="1:15" ht="15.75" customHeight="1" x14ac:dyDescent="0.3">
      <c r="A193" s="1">
        <v>994</v>
      </c>
      <c r="B193" s="2">
        <v>46012</v>
      </c>
      <c r="C193" s="1" t="s">
        <v>36</v>
      </c>
      <c r="D193" s="1" t="s">
        <v>28</v>
      </c>
      <c r="E193" s="1">
        <v>7</v>
      </c>
      <c r="F193" s="1">
        <v>18000</v>
      </c>
      <c r="G193" s="1">
        <v>126000</v>
      </c>
      <c r="H193" s="1">
        <v>35278</v>
      </c>
      <c r="I193" s="1" t="s">
        <v>15</v>
      </c>
      <c r="J193" s="1">
        <v>5</v>
      </c>
      <c r="K193" s="1" t="s">
        <v>16</v>
      </c>
      <c r="L193" s="1">
        <v>4</v>
      </c>
      <c r="M193" s="1" t="s">
        <v>20</v>
      </c>
      <c r="N193" s="5">
        <f>IF(Tabulka1[[#This Row],[E-shop]]="ano",1,0)</f>
        <v>0</v>
      </c>
      <c r="O193" s="5">
        <f>IF(Tabulka1[[#This Row],[Reklamace]]="ano",1,0)</f>
        <v>1</v>
      </c>
    </row>
    <row r="194" spans="1:15" ht="15.75" customHeight="1" x14ac:dyDescent="0.3">
      <c r="A194" s="1">
        <v>133</v>
      </c>
      <c r="B194" s="2">
        <v>45767</v>
      </c>
      <c r="C194" s="1" t="s">
        <v>23</v>
      </c>
      <c r="D194" s="1" t="s">
        <v>47</v>
      </c>
      <c r="E194" s="1">
        <v>5</v>
      </c>
      <c r="F194" s="1">
        <v>25000</v>
      </c>
      <c r="G194" s="1">
        <v>125000</v>
      </c>
      <c r="H194" s="1">
        <v>35912</v>
      </c>
      <c r="I194" s="1" t="s">
        <v>15</v>
      </c>
      <c r="J194" s="1">
        <v>2</v>
      </c>
      <c r="K194" s="1" t="s">
        <v>15</v>
      </c>
      <c r="L194" s="1">
        <v>9</v>
      </c>
      <c r="M194" s="1" t="s">
        <v>20</v>
      </c>
      <c r="N194" s="5">
        <f>IF(Tabulka1[[#This Row],[E-shop]]="ano",1,0)</f>
        <v>0</v>
      </c>
      <c r="O194" s="5">
        <f>IF(Tabulka1[[#This Row],[Reklamace]]="ano",1,0)</f>
        <v>0</v>
      </c>
    </row>
    <row r="195" spans="1:15" ht="15.75" customHeight="1" x14ac:dyDescent="0.3">
      <c r="A195" s="1">
        <v>436</v>
      </c>
      <c r="B195" s="2">
        <v>46002</v>
      </c>
      <c r="C195" s="1" t="s">
        <v>31</v>
      </c>
      <c r="D195" s="1" t="s">
        <v>47</v>
      </c>
      <c r="E195" s="1">
        <v>5</v>
      </c>
      <c r="F195" s="1">
        <v>25000</v>
      </c>
      <c r="G195" s="1">
        <v>125000</v>
      </c>
      <c r="H195" s="1">
        <v>21726</v>
      </c>
      <c r="I195" s="1" t="s">
        <v>15</v>
      </c>
      <c r="J195" s="1">
        <v>6</v>
      </c>
      <c r="K195" s="1" t="s">
        <v>15</v>
      </c>
      <c r="L195" s="1">
        <v>3</v>
      </c>
      <c r="M195" s="1" t="s">
        <v>20</v>
      </c>
      <c r="N195" s="5">
        <f>IF(Tabulka1[[#This Row],[E-shop]]="ano",1,0)</f>
        <v>0</v>
      </c>
      <c r="O195" s="5">
        <f>IF(Tabulka1[[#This Row],[Reklamace]]="ano",1,0)</f>
        <v>0</v>
      </c>
    </row>
    <row r="196" spans="1:15" ht="15.75" customHeight="1" x14ac:dyDescent="0.3">
      <c r="A196" s="1">
        <v>776</v>
      </c>
      <c r="B196" s="2">
        <v>46006</v>
      </c>
      <c r="C196" s="1" t="s">
        <v>21</v>
      </c>
      <c r="D196" s="1" t="s">
        <v>47</v>
      </c>
      <c r="E196" s="1">
        <v>5</v>
      </c>
      <c r="F196" s="1">
        <v>25000</v>
      </c>
      <c r="G196" s="1">
        <v>125000</v>
      </c>
      <c r="H196" s="1">
        <v>32107</v>
      </c>
      <c r="I196" s="1" t="s">
        <v>15</v>
      </c>
      <c r="J196" s="1">
        <v>5</v>
      </c>
      <c r="K196" s="1" t="s">
        <v>16</v>
      </c>
      <c r="L196" s="1">
        <v>4</v>
      </c>
      <c r="M196" s="1" t="s">
        <v>20</v>
      </c>
      <c r="N196" s="5">
        <f>IF(Tabulka1[[#This Row],[E-shop]]="ano",1,0)</f>
        <v>0</v>
      </c>
      <c r="O196" s="5">
        <f>IF(Tabulka1[[#This Row],[Reklamace]]="ano",1,0)</f>
        <v>1</v>
      </c>
    </row>
    <row r="197" spans="1:15" ht="15.75" customHeight="1" x14ac:dyDescent="0.3">
      <c r="A197" s="1">
        <v>15</v>
      </c>
      <c r="B197" s="2">
        <v>45389</v>
      </c>
      <c r="C197" s="1" t="s">
        <v>23</v>
      </c>
      <c r="D197" s="1" t="s">
        <v>32</v>
      </c>
      <c r="E197" s="1">
        <v>12</v>
      </c>
      <c r="F197" s="1">
        <v>10000</v>
      </c>
      <c r="G197" s="1">
        <v>120000</v>
      </c>
      <c r="H197" s="1">
        <v>35508</v>
      </c>
      <c r="I197" s="1" t="s">
        <v>16</v>
      </c>
      <c r="J197" s="1">
        <v>8</v>
      </c>
      <c r="K197" s="1" t="s">
        <v>15</v>
      </c>
      <c r="L197" s="1">
        <v>2</v>
      </c>
      <c r="M197" s="1" t="s">
        <v>20</v>
      </c>
      <c r="N197" s="5">
        <f>IF(Tabulka1[[#This Row],[E-shop]]="ano",1,0)</f>
        <v>1</v>
      </c>
      <c r="O197" s="5">
        <f>IF(Tabulka1[[#This Row],[Reklamace]]="ano",1,0)</f>
        <v>0</v>
      </c>
    </row>
    <row r="198" spans="1:15" ht="15.75" customHeight="1" x14ac:dyDescent="0.3">
      <c r="A198" s="1">
        <v>21</v>
      </c>
      <c r="B198" s="2">
        <v>45641</v>
      </c>
      <c r="C198" s="1" t="s">
        <v>23</v>
      </c>
      <c r="D198" s="1" t="s">
        <v>32</v>
      </c>
      <c r="E198" s="1">
        <v>12</v>
      </c>
      <c r="F198" s="1">
        <v>10000</v>
      </c>
      <c r="G198" s="1">
        <v>120000</v>
      </c>
      <c r="H198" s="1">
        <v>22707</v>
      </c>
      <c r="I198" s="1" t="s">
        <v>16</v>
      </c>
      <c r="J198" s="1">
        <v>7</v>
      </c>
      <c r="K198" s="1" t="s">
        <v>16</v>
      </c>
      <c r="L198" s="1">
        <v>1</v>
      </c>
      <c r="M198" s="1" t="s">
        <v>20</v>
      </c>
      <c r="N198" s="5">
        <f>IF(Tabulka1[[#This Row],[E-shop]]="ano",1,0)</f>
        <v>1</v>
      </c>
      <c r="O198" s="5">
        <f>IF(Tabulka1[[#This Row],[Reklamace]]="ano",1,0)</f>
        <v>1</v>
      </c>
    </row>
    <row r="199" spans="1:15" ht="15.75" customHeight="1" x14ac:dyDescent="0.3">
      <c r="A199" s="1">
        <v>26</v>
      </c>
      <c r="B199" s="2">
        <v>45913</v>
      </c>
      <c r="C199" s="1" t="s">
        <v>21</v>
      </c>
      <c r="D199" s="1" t="s">
        <v>22</v>
      </c>
      <c r="E199" s="1">
        <v>8</v>
      </c>
      <c r="F199" s="1">
        <v>15000</v>
      </c>
      <c r="G199" s="1">
        <v>120000</v>
      </c>
      <c r="H199" s="1">
        <v>18659</v>
      </c>
      <c r="I199" s="1" t="s">
        <v>15</v>
      </c>
      <c r="J199" s="1">
        <v>3</v>
      </c>
      <c r="K199" s="1" t="s">
        <v>16</v>
      </c>
      <c r="L199" s="1">
        <v>6</v>
      </c>
      <c r="M199" s="1" t="s">
        <v>20</v>
      </c>
      <c r="N199" s="5">
        <f>IF(Tabulka1[[#This Row],[E-shop]]="ano",1,0)</f>
        <v>0</v>
      </c>
      <c r="O199" s="5">
        <f>IF(Tabulka1[[#This Row],[Reklamace]]="ano",1,0)</f>
        <v>1</v>
      </c>
    </row>
    <row r="200" spans="1:15" ht="15.75" customHeight="1" x14ac:dyDescent="0.3">
      <c r="A200" s="1">
        <v>53</v>
      </c>
      <c r="B200" s="2">
        <v>45306</v>
      </c>
      <c r="C200" s="1" t="s">
        <v>36</v>
      </c>
      <c r="D200" s="1" t="s">
        <v>14</v>
      </c>
      <c r="E200" s="1">
        <v>10</v>
      </c>
      <c r="F200" s="1">
        <v>12000</v>
      </c>
      <c r="G200" s="1">
        <v>120000</v>
      </c>
      <c r="H200" s="1">
        <v>26637</v>
      </c>
      <c r="I200" s="1" t="s">
        <v>16</v>
      </c>
      <c r="J200" s="1">
        <v>3</v>
      </c>
      <c r="K200" s="1" t="s">
        <v>15</v>
      </c>
      <c r="L200" s="1">
        <v>8</v>
      </c>
      <c r="M200" s="1" t="s">
        <v>20</v>
      </c>
      <c r="N200" s="5">
        <f>IF(Tabulka1[[#This Row],[E-shop]]="ano",1,0)</f>
        <v>1</v>
      </c>
      <c r="O200" s="5">
        <f>IF(Tabulka1[[#This Row],[Reklamace]]="ano",1,0)</f>
        <v>0</v>
      </c>
    </row>
    <row r="201" spans="1:15" ht="15.75" customHeight="1" x14ac:dyDescent="0.3">
      <c r="A201" s="1">
        <v>66</v>
      </c>
      <c r="B201" s="2">
        <v>45454</v>
      </c>
      <c r="C201" s="1" t="s">
        <v>31</v>
      </c>
      <c r="D201" s="1" t="s">
        <v>35</v>
      </c>
      <c r="E201" s="1">
        <v>10</v>
      </c>
      <c r="F201" s="1">
        <v>12000</v>
      </c>
      <c r="G201" s="1">
        <v>120000</v>
      </c>
      <c r="H201" s="1">
        <v>30138</v>
      </c>
      <c r="I201" s="1" t="s">
        <v>15</v>
      </c>
      <c r="J201" s="1">
        <v>4</v>
      </c>
      <c r="K201" s="1" t="s">
        <v>15</v>
      </c>
      <c r="L201" s="1">
        <v>5</v>
      </c>
      <c r="M201" s="1" t="s">
        <v>20</v>
      </c>
      <c r="N201" s="5">
        <f>IF(Tabulka1[[#This Row],[E-shop]]="ano",1,0)</f>
        <v>0</v>
      </c>
      <c r="O201" s="5">
        <f>IF(Tabulka1[[#This Row],[Reklamace]]="ano",1,0)</f>
        <v>0</v>
      </c>
    </row>
    <row r="202" spans="1:15" ht="15.75" customHeight="1" x14ac:dyDescent="0.3">
      <c r="A202" s="1">
        <v>124</v>
      </c>
      <c r="B202" s="2">
        <v>45512</v>
      </c>
      <c r="C202" s="1" t="s">
        <v>13</v>
      </c>
      <c r="D202" s="1" t="s">
        <v>35</v>
      </c>
      <c r="E202" s="1">
        <v>10</v>
      </c>
      <c r="F202" s="1">
        <v>12000</v>
      </c>
      <c r="G202" s="1">
        <v>120000</v>
      </c>
      <c r="H202" s="1">
        <v>20608</v>
      </c>
      <c r="I202" s="1" t="s">
        <v>15</v>
      </c>
      <c r="J202" s="1">
        <v>6</v>
      </c>
      <c r="K202" s="1" t="s">
        <v>16</v>
      </c>
      <c r="L202" s="1">
        <v>4</v>
      </c>
      <c r="M202" s="1" t="s">
        <v>20</v>
      </c>
      <c r="N202" s="5">
        <f>IF(Tabulka1[[#This Row],[E-shop]]="ano",1,0)</f>
        <v>0</v>
      </c>
      <c r="O202" s="5">
        <f>IF(Tabulka1[[#This Row],[Reklamace]]="ano",1,0)</f>
        <v>1</v>
      </c>
    </row>
    <row r="203" spans="1:15" ht="15.75" customHeight="1" x14ac:dyDescent="0.3">
      <c r="A203" s="1">
        <v>176</v>
      </c>
      <c r="B203" s="2">
        <v>45474</v>
      </c>
      <c r="C203" s="1" t="s">
        <v>25</v>
      </c>
      <c r="D203" s="1" t="s">
        <v>26</v>
      </c>
      <c r="E203" s="1">
        <v>10</v>
      </c>
      <c r="F203" s="1">
        <v>12000</v>
      </c>
      <c r="G203" s="1">
        <v>120000</v>
      </c>
      <c r="H203" s="1">
        <v>33816</v>
      </c>
      <c r="I203" s="1" t="s">
        <v>16</v>
      </c>
      <c r="J203" s="1">
        <v>8</v>
      </c>
      <c r="K203" s="1" t="s">
        <v>16</v>
      </c>
      <c r="L203" s="1">
        <v>3</v>
      </c>
      <c r="M203" s="1" t="s">
        <v>20</v>
      </c>
      <c r="N203" s="5">
        <f>IF(Tabulka1[[#This Row],[E-shop]]="ano",1,0)</f>
        <v>1</v>
      </c>
      <c r="O203" s="5">
        <f>IF(Tabulka1[[#This Row],[Reklamace]]="ano",1,0)</f>
        <v>1</v>
      </c>
    </row>
    <row r="204" spans="1:15" ht="15.75" customHeight="1" x14ac:dyDescent="0.3">
      <c r="A204" s="1">
        <v>193</v>
      </c>
      <c r="B204" s="2">
        <v>45798</v>
      </c>
      <c r="C204" s="1" t="s">
        <v>31</v>
      </c>
      <c r="D204" s="1" t="s">
        <v>26</v>
      </c>
      <c r="E204" s="1">
        <v>10</v>
      </c>
      <c r="F204" s="1">
        <v>12000</v>
      </c>
      <c r="G204" s="1">
        <v>120000</v>
      </c>
      <c r="H204" s="1">
        <v>35400</v>
      </c>
      <c r="I204" s="1" t="s">
        <v>15</v>
      </c>
      <c r="J204" s="1">
        <v>3</v>
      </c>
      <c r="K204" s="1" t="s">
        <v>16</v>
      </c>
      <c r="L204" s="1">
        <v>7</v>
      </c>
      <c r="M204" s="1" t="s">
        <v>17</v>
      </c>
      <c r="N204" s="5">
        <f>IF(Tabulka1[[#This Row],[E-shop]]="ano",1,0)</f>
        <v>0</v>
      </c>
      <c r="O204" s="5">
        <f>IF(Tabulka1[[#This Row],[Reklamace]]="ano",1,0)</f>
        <v>1</v>
      </c>
    </row>
    <row r="205" spans="1:15" ht="15.75" customHeight="1" x14ac:dyDescent="0.3">
      <c r="A205" s="1">
        <v>203</v>
      </c>
      <c r="B205" s="2">
        <v>45617</v>
      </c>
      <c r="C205" s="1" t="s">
        <v>18</v>
      </c>
      <c r="D205" s="1" t="s">
        <v>44</v>
      </c>
      <c r="E205" s="1">
        <v>12</v>
      </c>
      <c r="F205" s="1">
        <v>10000</v>
      </c>
      <c r="G205" s="1">
        <v>120000</v>
      </c>
      <c r="H205" s="1">
        <v>34615</v>
      </c>
      <c r="I205" s="1" t="s">
        <v>15</v>
      </c>
      <c r="J205" s="1">
        <v>3</v>
      </c>
      <c r="K205" s="1" t="s">
        <v>15</v>
      </c>
      <c r="L205" s="1">
        <v>6</v>
      </c>
      <c r="M205" s="1" t="s">
        <v>17</v>
      </c>
      <c r="N205" s="5">
        <f>IF(Tabulka1[[#This Row],[E-shop]]="ano",1,0)</f>
        <v>0</v>
      </c>
      <c r="O205" s="5">
        <f>IF(Tabulka1[[#This Row],[Reklamace]]="ano",1,0)</f>
        <v>0</v>
      </c>
    </row>
    <row r="206" spans="1:15" ht="15.75" customHeight="1" x14ac:dyDescent="0.3">
      <c r="A206" s="1">
        <v>225</v>
      </c>
      <c r="B206" s="2">
        <v>45520</v>
      </c>
      <c r="C206" s="1" t="s">
        <v>21</v>
      </c>
      <c r="D206" s="1" t="s">
        <v>22</v>
      </c>
      <c r="E206" s="1">
        <v>8</v>
      </c>
      <c r="F206" s="1">
        <v>15000</v>
      </c>
      <c r="G206" s="1">
        <v>120000</v>
      </c>
      <c r="H206" s="1">
        <v>32162</v>
      </c>
      <c r="I206" s="1" t="s">
        <v>15</v>
      </c>
      <c r="J206" s="1">
        <v>8</v>
      </c>
      <c r="K206" s="1" t="s">
        <v>16</v>
      </c>
      <c r="L206" s="1">
        <v>1</v>
      </c>
      <c r="M206" s="1" t="s">
        <v>20</v>
      </c>
      <c r="N206" s="5">
        <f>IF(Tabulka1[[#This Row],[E-shop]]="ano",1,0)</f>
        <v>0</v>
      </c>
      <c r="O206" s="5">
        <f>IF(Tabulka1[[#This Row],[Reklamace]]="ano",1,0)</f>
        <v>1</v>
      </c>
    </row>
    <row r="207" spans="1:15" ht="15.75" customHeight="1" x14ac:dyDescent="0.3">
      <c r="A207" s="1">
        <v>275</v>
      </c>
      <c r="B207" s="2">
        <v>45563</v>
      </c>
      <c r="C207" s="1" t="s">
        <v>25</v>
      </c>
      <c r="D207" s="1" t="s">
        <v>35</v>
      </c>
      <c r="E207" s="1">
        <v>10</v>
      </c>
      <c r="F207" s="1">
        <v>12000</v>
      </c>
      <c r="G207" s="1">
        <v>120000</v>
      </c>
      <c r="H207" s="1">
        <v>35723</v>
      </c>
      <c r="I207" s="1" t="s">
        <v>15</v>
      </c>
      <c r="J207" s="1">
        <v>4</v>
      </c>
      <c r="K207" s="1" t="s">
        <v>15</v>
      </c>
      <c r="L207" s="1">
        <v>5</v>
      </c>
      <c r="M207" s="1" t="s">
        <v>20</v>
      </c>
      <c r="N207" s="5">
        <f>IF(Tabulka1[[#This Row],[E-shop]]="ano",1,0)</f>
        <v>0</v>
      </c>
      <c r="O207" s="5">
        <f>IF(Tabulka1[[#This Row],[Reklamace]]="ano",1,0)</f>
        <v>0</v>
      </c>
    </row>
    <row r="208" spans="1:15" ht="15.75" customHeight="1" x14ac:dyDescent="0.3">
      <c r="A208" s="1">
        <v>284</v>
      </c>
      <c r="B208" s="2">
        <v>45448</v>
      </c>
      <c r="C208" s="1" t="s">
        <v>13</v>
      </c>
      <c r="D208" s="1" t="s">
        <v>29</v>
      </c>
      <c r="E208" s="1">
        <v>6</v>
      </c>
      <c r="F208" s="1">
        <v>20000</v>
      </c>
      <c r="G208" s="1">
        <v>120000</v>
      </c>
      <c r="H208" s="1">
        <v>34647</v>
      </c>
      <c r="I208" s="1" t="s">
        <v>16</v>
      </c>
      <c r="J208" s="1">
        <v>6</v>
      </c>
      <c r="K208" s="1" t="s">
        <v>15</v>
      </c>
      <c r="L208" s="1">
        <v>4</v>
      </c>
      <c r="M208" s="1" t="s">
        <v>20</v>
      </c>
      <c r="N208" s="5">
        <f>IF(Tabulka1[[#This Row],[E-shop]]="ano",1,0)</f>
        <v>1</v>
      </c>
      <c r="O208" s="5">
        <f>IF(Tabulka1[[#This Row],[Reklamace]]="ano",1,0)</f>
        <v>0</v>
      </c>
    </row>
    <row r="209" spans="1:15" ht="15.75" customHeight="1" x14ac:dyDescent="0.3">
      <c r="A209" s="1">
        <v>321</v>
      </c>
      <c r="B209" s="2">
        <v>45470</v>
      </c>
      <c r="C209" s="1" t="s">
        <v>13</v>
      </c>
      <c r="D209" s="1" t="s">
        <v>22</v>
      </c>
      <c r="E209" s="1">
        <v>8</v>
      </c>
      <c r="F209" s="1">
        <v>15000</v>
      </c>
      <c r="G209" s="1">
        <v>120000</v>
      </c>
      <c r="H209" s="1">
        <v>28234</v>
      </c>
      <c r="I209" s="1" t="s">
        <v>15</v>
      </c>
      <c r="J209" s="1">
        <v>4</v>
      </c>
      <c r="K209" s="1" t="s">
        <v>16</v>
      </c>
      <c r="L209" s="1">
        <v>4</v>
      </c>
      <c r="M209" s="1" t="s">
        <v>20</v>
      </c>
      <c r="N209" s="5">
        <f>IF(Tabulka1[[#This Row],[E-shop]]="ano",1,0)</f>
        <v>0</v>
      </c>
      <c r="O209" s="5">
        <f>IF(Tabulka1[[#This Row],[Reklamace]]="ano",1,0)</f>
        <v>1</v>
      </c>
    </row>
    <row r="210" spans="1:15" ht="15.75" customHeight="1" x14ac:dyDescent="0.3">
      <c r="A210" s="1">
        <v>330</v>
      </c>
      <c r="B210" s="2">
        <v>45597</v>
      </c>
      <c r="C210" s="1" t="s">
        <v>23</v>
      </c>
      <c r="D210" s="1" t="s">
        <v>35</v>
      </c>
      <c r="E210" s="1">
        <v>10</v>
      </c>
      <c r="F210" s="1">
        <v>12000</v>
      </c>
      <c r="G210" s="1">
        <v>120000</v>
      </c>
      <c r="H210" s="1">
        <v>28404</v>
      </c>
      <c r="I210" s="1" t="s">
        <v>16</v>
      </c>
      <c r="J210" s="1">
        <v>8</v>
      </c>
      <c r="K210" s="1" t="s">
        <v>16</v>
      </c>
      <c r="L210" s="1">
        <v>1</v>
      </c>
      <c r="M210" s="1" t="s">
        <v>17</v>
      </c>
      <c r="N210" s="5">
        <f>IF(Tabulka1[[#This Row],[E-shop]]="ano",1,0)</f>
        <v>1</v>
      </c>
      <c r="O210" s="5">
        <f>IF(Tabulka1[[#This Row],[Reklamace]]="ano",1,0)</f>
        <v>1</v>
      </c>
    </row>
    <row r="211" spans="1:15" ht="15.75" customHeight="1" x14ac:dyDescent="0.3">
      <c r="A211" s="1">
        <v>341</v>
      </c>
      <c r="B211" s="2">
        <v>45626</v>
      </c>
      <c r="C211" s="1" t="s">
        <v>21</v>
      </c>
      <c r="D211" s="1" t="s">
        <v>26</v>
      </c>
      <c r="E211" s="1">
        <v>10</v>
      </c>
      <c r="F211" s="1">
        <v>12000</v>
      </c>
      <c r="G211" s="1">
        <v>120000</v>
      </c>
      <c r="H211" s="1">
        <v>32840</v>
      </c>
      <c r="I211" s="1" t="s">
        <v>16</v>
      </c>
      <c r="J211" s="1">
        <v>5</v>
      </c>
      <c r="K211" s="1" t="s">
        <v>15</v>
      </c>
      <c r="L211" s="1">
        <v>5</v>
      </c>
      <c r="M211" s="1" t="s">
        <v>20</v>
      </c>
      <c r="N211" s="5">
        <f>IF(Tabulka1[[#This Row],[E-shop]]="ano",1,0)</f>
        <v>1</v>
      </c>
      <c r="O211" s="5">
        <f>IF(Tabulka1[[#This Row],[Reklamace]]="ano",1,0)</f>
        <v>0</v>
      </c>
    </row>
    <row r="212" spans="1:15" ht="15.75" customHeight="1" x14ac:dyDescent="0.3">
      <c r="A212" s="1">
        <v>343</v>
      </c>
      <c r="B212" s="2">
        <v>45780</v>
      </c>
      <c r="C212" s="1" t="s">
        <v>18</v>
      </c>
      <c r="D212" s="1" t="s">
        <v>35</v>
      </c>
      <c r="E212" s="1">
        <v>10</v>
      </c>
      <c r="F212" s="1">
        <v>12000</v>
      </c>
      <c r="G212" s="1">
        <v>120000</v>
      </c>
      <c r="H212" s="1">
        <v>23602</v>
      </c>
      <c r="I212" s="1" t="s">
        <v>15</v>
      </c>
      <c r="J212" s="1">
        <v>4</v>
      </c>
      <c r="K212" s="1" t="s">
        <v>16</v>
      </c>
      <c r="L212" s="1">
        <v>4</v>
      </c>
      <c r="M212" s="1" t="s">
        <v>17</v>
      </c>
      <c r="N212" s="5">
        <f>IF(Tabulka1[[#This Row],[E-shop]]="ano",1,0)</f>
        <v>0</v>
      </c>
      <c r="O212" s="5">
        <f>IF(Tabulka1[[#This Row],[Reklamace]]="ano",1,0)</f>
        <v>1</v>
      </c>
    </row>
    <row r="213" spans="1:15" ht="15.75" customHeight="1" x14ac:dyDescent="0.3">
      <c r="A213" s="1">
        <v>356</v>
      </c>
      <c r="B213" s="2">
        <v>45973</v>
      </c>
      <c r="C213" s="1" t="s">
        <v>21</v>
      </c>
      <c r="D213" s="1" t="s">
        <v>35</v>
      </c>
      <c r="E213" s="1">
        <v>10</v>
      </c>
      <c r="F213" s="1">
        <v>12000</v>
      </c>
      <c r="G213" s="1">
        <v>120000</v>
      </c>
      <c r="H213" s="1">
        <v>27818</v>
      </c>
      <c r="I213" s="1" t="s">
        <v>15</v>
      </c>
      <c r="J213" s="1">
        <v>7</v>
      </c>
      <c r="K213" s="1" t="s">
        <v>16</v>
      </c>
      <c r="L213" s="1">
        <v>2</v>
      </c>
      <c r="M213" s="1" t="s">
        <v>20</v>
      </c>
      <c r="N213" s="5">
        <f>IF(Tabulka1[[#This Row],[E-shop]]="ano",1,0)</f>
        <v>0</v>
      </c>
      <c r="O213" s="5">
        <f>IF(Tabulka1[[#This Row],[Reklamace]]="ano",1,0)</f>
        <v>1</v>
      </c>
    </row>
    <row r="214" spans="1:15" ht="15.75" customHeight="1" x14ac:dyDescent="0.3">
      <c r="A214" s="1">
        <v>456</v>
      </c>
      <c r="B214" s="2">
        <v>45584</v>
      </c>
      <c r="C214" s="1" t="s">
        <v>36</v>
      </c>
      <c r="D214" s="1" t="s">
        <v>26</v>
      </c>
      <c r="E214" s="1">
        <v>10</v>
      </c>
      <c r="F214" s="1">
        <v>12000</v>
      </c>
      <c r="G214" s="1">
        <v>120000</v>
      </c>
      <c r="H214" s="1">
        <v>30587</v>
      </c>
      <c r="I214" s="1" t="s">
        <v>15</v>
      </c>
      <c r="J214" s="1">
        <v>8</v>
      </c>
      <c r="K214" s="1" t="s">
        <v>15</v>
      </c>
      <c r="L214" s="1">
        <v>1</v>
      </c>
      <c r="M214" s="1" t="s">
        <v>17</v>
      </c>
      <c r="N214" s="5">
        <f>IF(Tabulka1[[#This Row],[E-shop]]="ano",1,0)</f>
        <v>0</v>
      </c>
      <c r="O214" s="5">
        <f>IF(Tabulka1[[#This Row],[Reklamace]]="ano",1,0)</f>
        <v>0</v>
      </c>
    </row>
    <row r="215" spans="1:15" ht="15.75" customHeight="1" x14ac:dyDescent="0.3">
      <c r="A215" s="1">
        <v>481</v>
      </c>
      <c r="B215" s="2">
        <v>45622</v>
      </c>
      <c r="C215" s="1" t="s">
        <v>13</v>
      </c>
      <c r="D215" s="1" t="s">
        <v>26</v>
      </c>
      <c r="E215" s="1">
        <v>10</v>
      </c>
      <c r="F215" s="1">
        <v>12000</v>
      </c>
      <c r="G215" s="1">
        <v>120000</v>
      </c>
      <c r="H215" s="1">
        <v>22633</v>
      </c>
      <c r="I215" s="1" t="s">
        <v>15</v>
      </c>
      <c r="J215" s="1">
        <v>9</v>
      </c>
      <c r="K215" s="1" t="s">
        <v>16</v>
      </c>
      <c r="L215" s="1">
        <v>1</v>
      </c>
      <c r="M215" s="1" t="s">
        <v>17</v>
      </c>
      <c r="N215" s="5">
        <f>IF(Tabulka1[[#This Row],[E-shop]]="ano",1,0)</f>
        <v>0</v>
      </c>
      <c r="O215" s="5">
        <f>IF(Tabulka1[[#This Row],[Reklamace]]="ano",1,0)</f>
        <v>1</v>
      </c>
    </row>
    <row r="216" spans="1:15" ht="15.75" customHeight="1" x14ac:dyDescent="0.3">
      <c r="A216" s="1">
        <v>525</v>
      </c>
      <c r="B216" s="2">
        <v>45878</v>
      </c>
      <c r="C216" s="1" t="s">
        <v>18</v>
      </c>
      <c r="D216" s="1" t="s">
        <v>35</v>
      </c>
      <c r="E216" s="1">
        <v>10</v>
      </c>
      <c r="F216" s="1">
        <v>12000</v>
      </c>
      <c r="G216" s="1">
        <v>120000</v>
      </c>
      <c r="H216" s="1">
        <v>23609</v>
      </c>
      <c r="I216" s="1" t="s">
        <v>15</v>
      </c>
      <c r="J216" s="1">
        <v>6</v>
      </c>
      <c r="K216" s="1" t="s">
        <v>16</v>
      </c>
      <c r="L216" s="1">
        <v>4</v>
      </c>
      <c r="M216" s="1" t="s">
        <v>20</v>
      </c>
      <c r="N216" s="5">
        <f>IF(Tabulka1[[#This Row],[E-shop]]="ano",1,0)</f>
        <v>0</v>
      </c>
      <c r="O216" s="5">
        <f>IF(Tabulka1[[#This Row],[Reklamace]]="ano",1,0)</f>
        <v>1</v>
      </c>
    </row>
    <row r="217" spans="1:15" ht="15.75" customHeight="1" x14ac:dyDescent="0.3">
      <c r="A217" s="1">
        <v>530</v>
      </c>
      <c r="B217" s="2">
        <v>46002</v>
      </c>
      <c r="C217" s="1" t="s">
        <v>13</v>
      </c>
      <c r="D217" s="1" t="s">
        <v>35</v>
      </c>
      <c r="E217" s="1">
        <v>10</v>
      </c>
      <c r="F217" s="1">
        <v>12000</v>
      </c>
      <c r="G217" s="1">
        <v>120000</v>
      </c>
      <c r="H217" s="1">
        <v>26137</v>
      </c>
      <c r="I217" s="1" t="s">
        <v>16</v>
      </c>
      <c r="J217" s="1">
        <v>5</v>
      </c>
      <c r="K217" s="1" t="s">
        <v>15</v>
      </c>
      <c r="L217" s="1">
        <v>5</v>
      </c>
      <c r="M217" s="1" t="s">
        <v>17</v>
      </c>
      <c r="N217" s="5">
        <f>IF(Tabulka1[[#This Row],[E-shop]]="ano",1,0)</f>
        <v>1</v>
      </c>
      <c r="O217" s="5">
        <f>IF(Tabulka1[[#This Row],[Reklamace]]="ano",1,0)</f>
        <v>0</v>
      </c>
    </row>
    <row r="218" spans="1:15" ht="15.75" customHeight="1" x14ac:dyDescent="0.3">
      <c r="A218" s="1">
        <v>587</v>
      </c>
      <c r="B218" s="2">
        <v>45812</v>
      </c>
      <c r="C218" s="1" t="s">
        <v>18</v>
      </c>
      <c r="D218" s="1" t="s">
        <v>35</v>
      </c>
      <c r="E218" s="1">
        <v>10</v>
      </c>
      <c r="F218" s="1">
        <v>12000</v>
      </c>
      <c r="G218" s="1">
        <v>120000</v>
      </c>
      <c r="H218" s="1">
        <v>27498</v>
      </c>
      <c r="I218" s="1" t="s">
        <v>16</v>
      </c>
      <c r="J218" s="1">
        <v>7</v>
      </c>
      <c r="K218" s="1" t="s">
        <v>15</v>
      </c>
      <c r="L218" s="1">
        <v>3</v>
      </c>
      <c r="M218" s="1" t="s">
        <v>17</v>
      </c>
      <c r="N218" s="5">
        <f>IF(Tabulka1[[#This Row],[E-shop]]="ano",1,0)</f>
        <v>1</v>
      </c>
      <c r="O218" s="5">
        <f>IF(Tabulka1[[#This Row],[Reklamace]]="ano",1,0)</f>
        <v>0</v>
      </c>
    </row>
    <row r="219" spans="1:15" ht="15.75" customHeight="1" x14ac:dyDescent="0.3">
      <c r="A219" s="1">
        <v>595</v>
      </c>
      <c r="B219" s="2">
        <v>45479</v>
      </c>
      <c r="C219" s="1" t="s">
        <v>31</v>
      </c>
      <c r="D219" s="1" t="s">
        <v>35</v>
      </c>
      <c r="E219" s="1">
        <v>10</v>
      </c>
      <c r="F219" s="1">
        <v>12000</v>
      </c>
      <c r="G219" s="1">
        <v>120000</v>
      </c>
      <c r="H219" s="1">
        <v>29076</v>
      </c>
      <c r="I219" s="1" t="s">
        <v>16</v>
      </c>
      <c r="J219" s="1">
        <v>5</v>
      </c>
      <c r="K219" s="1" t="s">
        <v>15</v>
      </c>
      <c r="L219" s="1">
        <v>6</v>
      </c>
      <c r="M219" s="1" t="s">
        <v>20</v>
      </c>
      <c r="N219" s="5">
        <f>IF(Tabulka1[[#This Row],[E-shop]]="ano",1,0)</f>
        <v>1</v>
      </c>
      <c r="O219" s="5">
        <f>IF(Tabulka1[[#This Row],[Reklamace]]="ano",1,0)</f>
        <v>0</v>
      </c>
    </row>
    <row r="220" spans="1:15" ht="15.75" customHeight="1" x14ac:dyDescent="0.3">
      <c r="A220" s="1">
        <v>599</v>
      </c>
      <c r="B220" s="2">
        <v>45798</v>
      </c>
      <c r="C220" s="1" t="s">
        <v>18</v>
      </c>
      <c r="D220" s="1" t="s">
        <v>32</v>
      </c>
      <c r="E220" s="1">
        <v>12</v>
      </c>
      <c r="F220" s="1">
        <v>10000</v>
      </c>
      <c r="G220" s="1">
        <v>120000</v>
      </c>
      <c r="H220" s="1">
        <v>32228</v>
      </c>
      <c r="I220" s="1" t="s">
        <v>15</v>
      </c>
      <c r="J220" s="1">
        <v>9</v>
      </c>
      <c r="K220" s="1" t="s">
        <v>15</v>
      </c>
      <c r="L220" s="1">
        <v>1</v>
      </c>
      <c r="M220" s="1" t="s">
        <v>17</v>
      </c>
      <c r="N220" s="5">
        <f>IF(Tabulka1[[#This Row],[E-shop]]="ano",1,0)</f>
        <v>0</v>
      </c>
      <c r="O220" s="5">
        <f>IF(Tabulka1[[#This Row],[Reklamace]]="ano",1,0)</f>
        <v>0</v>
      </c>
    </row>
    <row r="221" spans="1:15" ht="15.75" customHeight="1" x14ac:dyDescent="0.3">
      <c r="A221" s="1">
        <v>606</v>
      </c>
      <c r="B221" s="2">
        <v>45975</v>
      </c>
      <c r="C221" s="1" t="s">
        <v>25</v>
      </c>
      <c r="D221" s="1" t="s">
        <v>35</v>
      </c>
      <c r="E221" s="1">
        <v>10</v>
      </c>
      <c r="F221" s="1">
        <v>12000</v>
      </c>
      <c r="G221" s="1">
        <v>120000</v>
      </c>
      <c r="H221" s="1">
        <v>26536</v>
      </c>
      <c r="I221" s="1" t="s">
        <v>15</v>
      </c>
      <c r="J221" s="1">
        <v>5</v>
      </c>
      <c r="K221" s="1" t="s">
        <v>15</v>
      </c>
      <c r="L221" s="1">
        <v>4</v>
      </c>
      <c r="M221" s="1" t="s">
        <v>20</v>
      </c>
      <c r="N221" s="5">
        <f>IF(Tabulka1[[#This Row],[E-shop]]="ano",1,0)</f>
        <v>0</v>
      </c>
      <c r="O221" s="5">
        <f>IF(Tabulka1[[#This Row],[Reklamace]]="ano",1,0)</f>
        <v>0</v>
      </c>
    </row>
    <row r="222" spans="1:15" ht="15.75" customHeight="1" x14ac:dyDescent="0.3">
      <c r="A222" s="1">
        <v>632</v>
      </c>
      <c r="B222" s="2">
        <v>45760</v>
      </c>
      <c r="C222" s="1" t="s">
        <v>31</v>
      </c>
      <c r="D222" s="1" t="s">
        <v>26</v>
      </c>
      <c r="E222" s="1">
        <v>10</v>
      </c>
      <c r="F222" s="1">
        <v>12000</v>
      </c>
      <c r="G222" s="1">
        <v>120000</v>
      </c>
      <c r="H222" s="1">
        <v>27019</v>
      </c>
      <c r="I222" s="1" t="s">
        <v>15</v>
      </c>
      <c r="J222" s="1">
        <v>3</v>
      </c>
      <c r="K222" s="1" t="s">
        <v>15</v>
      </c>
      <c r="L222" s="1">
        <v>5</v>
      </c>
      <c r="M222" s="1" t="s">
        <v>20</v>
      </c>
      <c r="N222" s="5">
        <f>IF(Tabulka1[[#This Row],[E-shop]]="ano",1,0)</f>
        <v>0</v>
      </c>
      <c r="O222" s="5">
        <f>IF(Tabulka1[[#This Row],[Reklamace]]="ano",1,0)</f>
        <v>0</v>
      </c>
    </row>
    <row r="223" spans="1:15" ht="15.75" customHeight="1" x14ac:dyDescent="0.3">
      <c r="A223" s="1">
        <v>692</v>
      </c>
      <c r="B223" s="2">
        <v>45824</v>
      </c>
      <c r="C223" s="1" t="s">
        <v>23</v>
      </c>
      <c r="D223" s="1" t="s">
        <v>32</v>
      </c>
      <c r="E223" s="1">
        <v>12</v>
      </c>
      <c r="F223" s="1">
        <v>10000</v>
      </c>
      <c r="G223" s="1">
        <v>120000</v>
      </c>
      <c r="H223" s="1">
        <v>19906</v>
      </c>
      <c r="I223" s="1" t="s">
        <v>15</v>
      </c>
      <c r="J223" s="1">
        <v>7</v>
      </c>
      <c r="K223" s="1" t="s">
        <v>16</v>
      </c>
      <c r="L223" s="1">
        <v>4</v>
      </c>
      <c r="M223" s="1" t="s">
        <v>17</v>
      </c>
      <c r="N223" s="5">
        <f>IF(Tabulka1[[#This Row],[E-shop]]="ano",1,0)</f>
        <v>0</v>
      </c>
      <c r="O223" s="5">
        <f>IF(Tabulka1[[#This Row],[Reklamace]]="ano",1,0)</f>
        <v>1</v>
      </c>
    </row>
    <row r="224" spans="1:15" ht="15.75" customHeight="1" x14ac:dyDescent="0.3">
      <c r="A224" s="1">
        <v>811</v>
      </c>
      <c r="B224" s="2">
        <v>45719</v>
      </c>
      <c r="C224" s="1" t="s">
        <v>31</v>
      </c>
      <c r="D224" s="1" t="s">
        <v>35</v>
      </c>
      <c r="E224" s="1">
        <v>10</v>
      </c>
      <c r="F224" s="1">
        <v>12000</v>
      </c>
      <c r="G224" s="1">
        <v>120000</v>
      </c>
      <c r="H224" s="1">
        <v>29887</v>
      </c>
      <c r="I224" s="1" t="s">
        <v>15</v>
      </c>
      <c r="J224" s="1">
        <v>7</v>
      </c>
      <c r="K224" s="1" t="s">
        <v>16</v>
      </c>
      <c r="L224" s="1">
        <v>4</v>
      </c>
      <c r="M224" s="1" t="s">
        <v>20</v>
      </c>
      <c r="N224" s="5">
        <f>IF(Tabulka1[[#This Row],[E-shop]]="ano",1,0)</f>
        <v>0</v>
      </c>
      <c r="O224" s="5">
        <f>IF(Tabulka1[[#This Row],[Reklamace]]="ano",1,0)</f>
        <v>1</v>
      </c>
    </row>
    <row r="225" spans="1:15" ht="15.75" customHeight="1" x14ac:dyDescent="0.3">
      <c r="A225" s="1">
        <v>812</v>
      </c>
      <c r="B225" s="2">
        <v>45959</v>
      </c>
      <c r="C225" s="1" t="s">
        <v>23</v>
      </c>
      <c r="D225" s="1" t="s">
        <v>14</v>
      </c>
      <c r="E225" s="1">
        <v>10</v>
      </c>
      <c r="F225" s="1">
        <v>12000</v>
      </c>
      <c r="G225" s="1">
        <v>120000</v>
      </c>
      <c r="H225" s="1">
        <v>34197</v>
      </c>
      <c r="I225" s="1" t="s">
        <v>15</v>
      </c>
      <c r="J225" s="1">
        <v>3</v>
      </c>
      <c r="K225" s="1" t="s">
        <v>16</v>
      </c>
      <c r="L225" s="1">
        <v>7</v>
      </c>
      <c r="M225" s="1" t="s">
        <v>20</v>
      </c>
      <c r="N225" s="5">
        <f>IF(Tabulka1[[#This Row],[E-shop]]="ano",1,0)</f>
        <v>0</v>
      </c>
      <c r="O225" s="5">
        <f>IF(Tabulka1[[#This Row],[Reklamace]]="ano",1,0)</f>
        <v>1</v>
      </c>
    </row>
    <row r="226" spans="1:15" ht="15.75" customHeight="1" x14ac:dyDescent="0.3">
      <c r="A226" s="1">
        <v>817</v>
      </c>
      <c r="B226" s="2">
        <v>45597</v>
      </c>
      <c r="C226" s="1" t="s">
        <v>36</v>
      </c>
      <c r="D226" s="1" t="s">
        <v>32</v>
      </c>
      <c r="E226" s="1">
        <v>12</v>
      </c>
      <c r="F226" s="1">
        <v>10000</v>
      </c>
      <c r="G226" s="1">
        <v>120000</v>
      </c>
      <c r="H226" s="1">
        <v>35440</v>
      </c>
      <c r="I226" s="1" t="s">
        <v>15</v>
      </c>
      <c r="J226" s="1">
        <v>3</v>
      </c>
      <c r="K226" s="1" t="s">
        <v>15</v>
      </c>
      <c r="L226" s="1">
        <v>5</v>
      </c>
      <c r="M226" s="1" t="s">
        <v>20</v>
      </c>
      <c r="N226" s="5">
        <f>IF(Tabulka1[[#This Row],[E-shop]]="ano",1,0)</f>
        <v>0</v>
      </c>
      <c r="O226" s="5">
        <f>IF(Tabulka1[[#This Row],[Reklamace]]="ano",1,0)</f>
        <v>0</v>
      </c>
    </row>
    <row r="227" spans="1:15" ht="15.75" customHeight="1" x14ac:dyDescent="0.3">
      <c r="A227" s="1">
        <v>871</v>
      </c>
      <c r="B227" s="2">
        <v>45612</v>
      </c>
      <c r="C227" s="1" t="s">
        <v>23</v>
      </c>
      <c r="D227" s="1" t="s">
        <v>44</v>
      </c>
      <c r="E227" s="1">
        <v>12</v>
      </c>
      <c r="F227" s="1">
        <v>10000</v>
      </c>
      <c r="G227" s="1">
        <v>120000</v>
      </c>
      <c r="H227" s="1">
        <v>26775</v>
      </c>
      <c r="I227" s="1" t="s">
        <v>15</v>
      </c>
      <c r="J227" s="1">
        <v>9</v>
      </c>
      <c r="K227" s="1" t="s">
        <v>16</v>
      </c>
      <c r="L227" s="1">
        <v>1</v>
      </c>
      <c r="M227" s="1" t="s">
        <v>20</v>
      </c>
      <c r="N227" s="5">
        <f>IF(Tabulka1[[#This Row],[E-shop]]="ano",1,0)</f>
        <v>0</v>
      </c>
      <c r="O227" s="5">
        <f>IF(Tabulka1[[#This Row],[Reklamace]]="ano",1,0)</f>
        <v>1</v>
      </c>
    </row>
    <row r="228" spans="1:15" ht="15.75" customHeight="1" x14ac:dyDescent="0.3">
      <c r="A228" s="1">
        <v>959</v>
      </c>
      <c r="B228" s="2">
        <v>45834</v>
      </c>
      <c r="C228" s="1" t="s">
        <v>31</v>
      </c>
      <c r="D228" s="1" t="s">
        <v>35</v>
      </c>
      <c r="E228" s="1">
        <v>10</v>
      </c>
      <c r="F228" s="1">
        <v>12000</v>
      </c>
      <c r="G228" s="1">
        <v>120000</v>
      </c>
      <c r="H228" s="1">
        <v>24738</v>
      </c>
      <c r="I228" s="1" t="s">
        <v>15</v>
      </c>
      <c r="J228" s="1">
        <v>3</v>
      </c>
      <c r="K228" s="1" t="s">
        <v>15</v>
      </c>
      <c r="L228" s="1">
        <v>5</v>
      </c>
      <c r="M228" s="1" t="s">
        <v>17</v>
      </c>
      <c r="N228" s="5">
        <f>IF(Tabulka1[[#This Row],[E-shop]]="ano",1,0)</f>
        <v>0</v>
      </c>
      <c r="O228" s="5">
        <f>IF(Tabulka1[[#This Row],[Reklamace]]="ano",1,0)</f>
        <v>0</v>
      </c>
    </row>
    <row r="229" spans="1:15" ht="15.75" customHeight="1" x14ac:dyDescent="0.3">
      <c r="A229" s="1">
        <v>967</v>
      </c>
      <c r="B229" s="2">
        <v>45562</v>
      </c>
      <c r="C229" s="1" t="s">
        <v>18</v>
      </c>
      <c r="D229" s="1" t="s">
        <v>44</v>
      </c>
      <c r="E229" s="1">
        <v>12</v>
      </c>
      <c r="F229" s="1">
        <v>10000</v>
      </c>
      <c r="G229" s="1">
        <v>120000</v>
      </c>
      <c r="H229" s="1">
        <v>24360</v>
      </c>
      <c r="I229" s="1" t="s">
        <v>15</v>
      </c>
      <c r="J229" s="1">
        <v>8</v>
      </c>
      <c r="K229" s="1" t="s">
        <v>16</v>
      </c>
      <c r="L229" s="1">
        <v>1</v>
      </c>
      <c r="M229" s="1" t="s">
        <v>17</v>
      </c>
      <c r="N229" s="5">
        <f>IF(Tabulka1[[#This Row],[E-shop]]="ano",1,0)</f>
        <v>0</v>
      </c>
      <c r="O229" s="5">
        <f>IF(Tabulka1[[#This Row],[Reklamace]]="ano",1,0)</f>
        <v>1</v>
      </c>
    </row>
    <row r="230" spans="1:15" ht="15.75" customHeight="1" x14ac:dyDescent="0.3">
      <c r="A230" s="1">
        <v>375</v>
      </c>
      <c r="B230" s="2">
        <v>45721</v>
      </c>
      <c r="C230" s="1" t="s">
        <v>23</v>
      </c>
      <c r="D230" s="1" t="s">
        <v>38</v>
      </c>
      <c r="E230" s="1">
        <v>13</v>
      </c>
      <c r="F230" s="1">
        <v>9000</v>
      </c>
      <c r="G230" s="1">
        <v>117000</v>
      </c>
      <c r="H230" s="1">
        <v>31673</v>
      </c>
      <c r="I230" s="1" t="s">
        <v>15</v>
      </c>
      <c r="J230" s="1">
        <v>9</v>
      </c>
      <c r="K230" s="1" t="s">
        <v>16</v>
      </c>
      <c r="L230" s="1">
        <v>1</v>
      </c>
      <c r="M230" s="1" t="s">
        <v>20</v>
      </c>
      <c r="N230" s="5">
        <f>IF(Tabulka1[[#This Row],[E-shop]]="ano",1,0)</f>
        <v>0</v>
      </c>
      <c r="O230" s="5">
        <f>IF(Tabulka1[[#This Row],[Reklamace]]="ano",1,0)</f>
        <v>1</v>
      </c>
    </row>
    <row r="231" spans="1:15" ht="15.75" customHeight="1" x14ac:dyDescent="0.3">
      <c r="A231" s="1">
        <v>452</v>
      </c>
      <c r="B231" s="2">
        <v>45554</v>
      </c>
      <c r="C231" s="1" t="s">
        <v>31</v>
      </c>
      <c r="D231" s="1" t="s">
        <v>38</v>
      </c>
      <c r="E231" s="1">
        <v>13</v>
      </c>
      <c r="F231" s="1">
        <v>9000</v>
      </c>
      <c r="G231" s="1">
        <v>117000</v>
      </c>
      <c r="H231" s="1">
        <v>22798</v>
      </c>
      <c r="I231" s="1" t="s">
        <v>16</v>
      </c>
      <c r="J231" s="1">
        <v>5</v>
      </c>
      <c r="K231" s="1" t="s">
        <v>16</v>
      </c>
      <c r="L231" s="1">
        <v>4</v>
      </c>
      <c r="M231" s="1" t="s">
        <v>20</v>
      </c>
      <c r="N231" s="5">
        <f>IF(Tabulka1[[#This Row],[E-shop]]="ano",1,0)</f>
        <v>1</v>
      </c>
      <c r="O231" s="5">
        <f>IF(Tabulka1[[#This Row],[Reklamace]]="ano",1,0)</f>
        <v>1</v>
      </c>
    </row>
    <row r="232" spans="1:15" ht="15.75" customHeight="1" x14ac:dyDescent="0.3">
      <c r="A232" s="1">
        <v>559</v>
      </c>
      <c r="B232" s="2">
        <v>45670</v>
      </c>
      <c r="C232" s="1" t="s">
        <v>21</v>
      </c>
      <c r="D232" s="1" t="s">
        <v>38</v>
      </c>
      <c r="E232" s="1">
        <v>13</v>
      </c>
      <c r="F232" s="1">
        <v>9000</v>
      </c>
      <c r="G232" s="1">
        <v>117000</v>
      </c>
      <c r="H232" s="1">
        <v>22456</v>
      </c>
      <c r="I232" s="1" t="s">
        <v>15</v>
      </c>
      <c r="J232" s="1">
        <v>8</v>
      </c>
      <c r="K232" s="1" t="s">
        <v>15</v>
      </c>
      <c r="L232" s="1">
        <v>3</v>
      </c>
      <c r="M232" s="1" t="s">
        <v>17</v>
      </c>
      <c r="N232" s="5">
        <f>IF(Tabulka1[[#This Row],[E-shop]]="ano",1,0)</f>
        <v>0</v>
      </c>
      <c r="O232" s="5">
        <f>IF(Tabulka1[[#This Row],[Reklamace]]="ano",1,0)</f>
        <v>0</v>
      </c>
    </row>
    <row r="233" spans="1:15" ht="15.75" customHeight="1" x14ac:dyDescent="0.3">
      <c r="A233" s="1">
        <v>596</v>
      </c>
      <c r="B233" s="2">
        <v>45529</v>
      </c>
      <c r="C233" s="1" t="s">
        <v>31</v>
      </c>
      <c r="D233" s="1" t="s">
        <v>38</v>
      </c>
      <c r="E233" s="1">
        <v>13</v>
      </c>
      <c r="F233" s="1">
        <v>9000</v>
      </c>
      <c r="G233" s="1">
        <v>117000</v>
      </c>
      <c r="H233" s="1">
        <v>25523</v>
      </c>
      <c r="I233" s="1" t="s">
        <v>16</v>
      </c>
      <c r="J233" s="1">
        <v>3</v>
      </c>
      <c r="K233" s="1" t="s">
        <v>15</v>
      </c>
      <c r="L233" s="1">
        <v>7</v>
      </c>
      <c r="M233" s="1" t="s">
        <v>20</v>
      </c>
      <c r="N233" s="5">
        <f>IF(Tabulka1[[#This Row],[E-shop]]="ano",1,0)</f>
        <v>1</v>
      </c>
      <c r="O233" s="5">
        <f>IF(Tabulka1[[#This Row],[Reklamace]]="ano",1,0)</f>
        <v>0</v>
      </c>
    </row>
    <row r="234" spans="1:15" ht="15.75" customHeight="1" x14ac:dyDescent="0.3">
      <c r="A234" s="1">
        <v>688</v>
      </c>
      <c r="B234" s="2">
        <v>45982</v>
      </c>
      <c r="C234" s="1" t="s">
        <v>31</v>
      </c>
      <c r="D234" s="1" t="s">
        <v>19</v>
      </c>
      <c r="E234" s="1">
        <v>13</v>
      </c>
      <c r="F234" s="1">
        <v>9000</v>
      </c>
      <c r="G234" s="1">
        <v>117000</v>
      </c>
      <c r="H234" s="1">
        <v>22548</v>
      </c>
      <c r="I234" s="1" t="s">
        <v>15</v>
      </c>
      <c r="J234" s="1">
        <v>7</v>
      </c>
      <c r="K234" s="1" t="s">
        <v>16</v>
      </c>
      <c r="L234" s="1">
        <v>4</v>
      </c>
      <c r="M234" s="1" t="s">
        <v>20</v>
      </c>
      <c r="N234" s="5">
        <f>IF(Tabulka1[[#This Row],[E-shop]]="ano",1,0)</f>
        <v>0</v>
      </c>
      <c r="O234" s="5">
        <f>IF(Tabulka1[[#This Row],[Reklamace]]="ano",1,0)</f>
        <v>1</v>
      </c>
    </row>
    <row r="235" spans="1:15" ht="15.75" customHeight="1" x14ac:dyDescent="0.3">
      <c r="A235" s="1">
        <v>746</v>
      </c>
      <c r="B235" s="2">
        <v>45606</v>
      </c>
      <c r="C235" s="1" t="s">
        <v>18</v>
      </c>
      <c r="D235" s="1" t="s">
        <v>19</v>
      </c>
      <c r="E235" s="1">
        <v>13</v>
      </c>
      <c r="F235" s="1">
        <v>9000</v>
      </c>
      <c r="G235" s="1">
        <v>117000</v>
      </c>
      <c r="H235" s="1">
        <v>19403</v>
      </c>
      <c r="I235" s="1" t="s">
        <v>16</v>
      </c>
      <c r="J235" s="1">
        <v>9</v>
      </c>
      <c r="K235" s="1" t="s">
        <v>15</v>
      </c>
      <c r="L235" s="1">
        <v>1</v>
      </c>
      <c r="M235" s="1" t="s">
        <v>20</v>
      </c>
      <c r="N235" s="5">
        <f>IF(Tabulka1[[#This Row],[E-shop]]="ano",1,0)</f>
        <v>1</v>
      </c>
      <c r="O235" s="5">
        <f>IF(Tabulka1[[#This Row],[Reklamace]]="ano",1,0)</f>
        <v>0</v>
      </c>
    </row>
    <row r="236" spans="1:15" ht="15.75" customHeight="1" x14ac:dyDescent="0.3">
      <c r="A236" s="1">
        <v>816</v>
      </c>
      <c r="B236" s="2">
        <v>45875</v>
      </c>
      <c r="C236" s="1" t="s">
        <v>18</v>
      </c>
      <c r="D236" s="1" t="s">
        <v>19</v>
      </c>
      <c r="E236" s="1">
        <v>13</v>
      </c>
      <c r="F236" s="1">
        <v>9000</v>
      </c>
      <c r="G236" s="1">
        <v>117000</v>
      </c>
      <c r="H236" s="1">
        <v>31377</v>
      </c>
      <c r="I236" s="1" t="s">
        <v>15</v>
      </c>
      <c r="J236" s="1">
        <v>8</v>
      </c>
      <c r="K236" s="1" t="s">
        <v>16</v>
      </c>
      <c r="L236" s="1">
        <v>1</v>
      </c>
      <c r="M236" s="1" t="s">
        <v>20</v>
      </c>
      <c r="N236" s="5">
        <f>IF(Tabulka1[[#This Row],[E-shop]]="ano",1,0)</f>
        <v>0</v>
      </c>
      <c r="O236" s="5">
        <f>IF(Tabulka1[[#This Row],[Reklamace]]="ano",1,0)</f>
        <v>1</v>
      </c>
    </row>
    <row r="237" spans="1:15" ht="15.75" customHeight="1" x14ac:dyDescent="0.3">
      <c r="A237" s="1">
        <v>939</v>
      </c>
      <c r="B237" s="2">
        <v>45508</v>
      </c>
      <c r="C237" s="1" t="s">
        <v>23</v>
      </c>
      <c r="D237" s="1" t="s">
        <v>19</v>
      </c>
      <c r="E237" s="1">
        <v>13</v>
      </c>
      <c r="F237" s="1">
        <v>9000</v>
      </c>
      <c r="G237" s="1">
        <v>117000</v>
      </c>
      <c r="H237" s="1">
        <v>21875</v>
      </c>
      <c r="I237" s="1" t="s">
        <v>15</v>
      </c>
      <c r="J237" s="1">
        <v>3</v>
      </c>
      <c r="K237" s="1" t="s">
        <v>15</v>
      </c>
      <c r="L237" s="1">
        <v>5</v>
      </c>
      <c r="M237" s="1" t="s">
        <v>20</v>
      </c>
      <c r="N237" s="5">
        <f>IF(Tabulka1[[#This Row],[E-shop]]="ano",1,0)</f>
        <v>0</v>
      </c>
      <c r="O237" s="5">
        <f>IF(Tabulka1[[#This Row],[Reklamace]]="ano",1,0)</f>
        <v>0</v>
      </c>
    </row>
    <row r="238" spans="1:15" ht="15.75" customHeight="1" x14ac:dyDescent="0.3">
      <c r="A238" s="1">
        <v>460</v>
      </c>
      <c r="B238" s="2">
        <v>45756</v>
      </c>
      <c r="C238" s="1" t="s">
        <v>13</v>
      </c>
      <c r="D238" s="1" t="s">
        <v>30</v>
      </c>
      <c r="E238" s="1">
        <v>14</v>
      </c>
      <c r="F238" s="1">
        <v>8000</v>
      </c>
      <c r="G238" s="1">
        <v>112000</v>
      </c>
      <c r="H238" s="1">
        <v>23029</v>
      </c>
      <c r="I238" s="1" t="s">
        <v>16</v>
      </c>
      <c r="J238" s="1">
        <v>3</v>
      </c>
      <c r="K238" s="1" t="s">
        <v>15</v>
      </c>
      <c r="L238" s="1">
        <v>8</v>
      </c>
      <c r="M238" s="1" t="s">
        <v>17</v>
      </c>
      <c r="N238" s="5">
        <f>IF(Tabulka1[[#This Row],[E-shop]]="ano",1,0)</f>
        <v>1</v>
      </c>
      <c r="O238" s="5">
        <f>IF(Tabulka1[[#This Row],[Reklamace]]="ano",1,0)</f>
        <v>0</v>
      </c>
    </row>
    <row r="239" spans="1:15" ht="15.75" customHeight="1" x14ac:dyDescent="0.3">
      <c r="A239" s="1">
        <v>895</v>
      </c>
      <c r="B239" s="2">
        <v>45563</v>
      </c>
      <c r="C239" s="1" t="s">
        <v>23</v>
      </c>
      <c r="D239" s="1" t="s">
        <v>40</v>
      </c>
      <c r="E239" s="1">
        <v>8</v>
      </c>
      <c r="F239" s="1">
        <v>14000</v>
      </c>
      <c r="G239" s="1">
        <v>112000</v>
      </c>
      <c r="H239" s="1">
        <v>27743</v>
      </c>
      <c r="I239" s="1" t="s">
        <v>16</v>
      </c>
      <c r="J239" s="1">
        <v>7</v>
      </c>
      <c r="K239" s="1" t="s">
        <v>15</v>
      </c>
      <c r="L239" s="1">
        <v>2</v>
      </c>
      <c r="M239" s="1" t="s">
        <v>20</v>
      </c>
      <c r="N239" s="5">
        <f>IF(Tabulka1[[#This Row],[E-shop]]="ano",1,0)</f>
        <v>1</v>
      </c>
      <c r="O239" s="5">
        <f>IF(Tabulka1[[#This Row],[Reklamace]]="ano",1,0)</f>
        <v>0</v>
      </c>
    </row>
    <row r="240" spans="1:15" ht="15.75" customHeight="1" x14ac:dyDescent="0.3">
      <c r="A240" s="1">
        <v>13</v>
      </c>
      <c r="B240" s="2">
        <v>45543</v>
      </c>
      <c r="C240" s="1" t="s">
        <v>31</v>
      </c>
      <c r="D240" s="1" t="s">
        <v>32</v>
      </c>
      <c r="E240" s="1">
        <v>11</v>
      </c>
      <c r="F240" s="1">
        <v>10000</v>
      </c>
      <c r="G240" s="1">
        <v>110000</v>
      </c>
      <c r="H240" s="1">
        <v>18652</v>
      </c>
      <c r="I240" s="1" t="s">
        <v>16</v>
      </c>
      <c r="J240" s="1">
        <v>6</v>
      </c>
      <c r="K240" s="1" t="s">
        <v>16</v>
      </c>
      <c r="L240" s="1">
        <v>2</v>
      </c>
      <c r="M240" s="1" t="s">
        <v>20</v>
      </c>
      <c r="N240" s="5">
        <f>IF(Tabulka1[[#This Row],[E-shop]]="ano",1,0)</f>
        <v>1</v>
      </c>
      <c r="O240" s="5">
        <f>IF(Tabulka1[[#This Row],[Reklamace]]="ano",1,0)</f>
        <v>1</v>
      </c>
    </row>
    <row r="241" spans="1:15" ht="15.75" customHeight="1" x14ac:dyDescent="0.3">
      <c r="A241" s="1">
        <v>217</v>
      </c>
      <c r="B241" s="2">
        <v>45684</v>
      </c>
      <c r="C241" s="1" t="s">
        <v>23</v>
      </c>
      <c r="D241" s="1" t="s">
        <v>32</v>
      </c>
      <c r="E241" s="1">
        <v>11</v>
      </c>
      <c r="F241" s="1">
        <v>10000</v>
      </c>
      <c r="G241" s="1">
        <v>110000</v>
      </c>
      <c r="H241" s="1">
        <v>31304</v>
      </c>
      <c r="I241" s="1" t="s">
        <v>15</v>
      </c>
      <c r="J241" s="1">
        <v>5</v>
      </c>
      <c r="K241" s="1" t="s">
        <v>16</v>
      </c>
      <c r="L241" s="1">
        <v>3</v>
      </c>
      <c r="M241" s="1" t="s">
        <v>20</v>
      </c>
      <c r="N241" s="5">
        <f>IF(Tabulka1[[#This Row],[E-shop]]="ano",1,0)</f>
        <v>0</v>
      </c>
      <c r="O241" s="5">
        <f>IF(Tabulka1[[#This Row],[Reklamace]]="ano",1,0)</f>
        <v>1</v>
      </c>
    </row>
    <row r="242" spans="1:15" ht="15.75" customHeight="1" x14ac:dyDescent="0.3">
      <c r="A242" s="1">
        <v>260</v>
      </c>
      <c r="B242" s="2">
        <v>45845</v>
      </c>
      <c r="C242" s="1" t="s">
        <v>23</v>
      </c>
      <c r="D242" s="1" t="s">
        <v>44</v>
      </c>
      <c r="E242" s="1">
        <v>11</v>
      </c>
      <c r="F242" s="1">
        <v>10000</v>
      </c>
      <c r="G242" s="1">
        <v>110000</v>
      </c>
      <c r="H242" s="1">
        <v>30793</v>
      </c>
      <c r="I242" s="1" t="s">
        <v>15</v>
      </c>
      <c r="J242" s="1">
        <v>8</v>
      </c>
      <c r="K242" s="1" t="s">
        <v>16</v>
      </c>
      <c r="L242" s="1">
        <v>1</v>
      </c>
      <c r="M242" s="1" t="s">
        <v>20</v>
      </c>
      <c r="N242" s="5">
        <f>IF(Tabulka1[[#This Row],[E-shop]]="ano",1,0)</f>
        <v>0</v>
      </c>
      <c r="O242" s="5">
        <f>IF(Tabulka1[[#This Row],[Reklamace]]="ano",1,0)</f>
        <v>1</v>
      </c>
    </row>
    <row r="243" spans="1:15" ht="15.75" customHeight="1" x14ac:dyDescent="0.3">
      <c r="A243" s="1">
        <v>378</v>
      </c>
      <c r="B243" s="2">
        <v>45543</v>
      </c>
      <c r="C243" s="1" t="s">
        <v>18</v>
      </c>
      <c r="D243" s="1" t="s">
        <v>32</v>
      </c>
      <c r="E243" s="1">
        <v>11</v>
      </c>
      <c r="F243" s="1">
        <v>10000</v>
      </c>
      <c r="G243" s="1">
        <v>110000</v>
      </c>
      <c r="H243" s="1">
        <v>16616</v>
      </c>
      <c r="I243" s="1" t="s">
        <v>15</v>
      </c>
      <c r="J243" s="1">
        <v>3</v>
      </c>
      <c r="K243" s="1" t="s">
        <v>15</v>
      </c>
      <c r="L243" s="1">
        <v>5</v>
      </c>
      <c r="M243" s="1" t="s">
        <v>20</v>
      </c>
      <c r="N243" s="5">
        <f>IF(Tabulka1[[#This Row],[E-shop]]="ano",1,0)</f>
        <v>0</v>
      </c>
      <c r="O243" s="5">
        <f>IF(Tabulka1[[#This Row],[Reklamace]]="ano",1,0)</f>
        <v>0</v>
      </c>
    </row>
    <row r="244" spans="1:15" ht="15.75" customHeight="1" x14ac:dyDescent="0.3">
      <c r="A244" s="1">
        <v>465</v>
      </c>
      <c r="B244" s="2">
        <v>45569</v>
      </c>
      <c r="C244" s="1" t="s">
        <v>13</v>
      </c>
      <c r="D244" s="1" t="s">
        <v>48</v>
      </c>
      <c r="E244" s="1">
        <v>5</v>
      </c>
      <c r="F244" s="1">
        <v>22000</v>
      </c>
      <c r="G244" s="1">
        <v>110000</v>
      </c>
      <c r="H244" s="1">
        <v>16551</v>
      </c>
      <c r="I244" s="1" t="s">
        <v>15</v>
      </c>
      <c r="J244" s="1">
        <v>7</v>
      </c>
      <c r="K244" s="1" t="s">
        <v>16</v>
      </c>
      <c r="L244" s="1">
        <v>4</v>
      </c>
      <c r="M244" s="1" t="s">
        <v>17</v>
      </c>
      <c r="N244" s="5">
        <f>IF(Tabulka1[[#This Row],[E-shop]]="ano",1,0)</f>
        <v>0</v>
      </c>
      <c r="O244" s="5">
        <f>IF(Tabulka1[[#This Row],[Reklamace]]="ano",1,0)</f>
        <v>1</v>
      </c>
    </row>
    <row r="245" spans="1:15" ht="15.75" customHeight="1" x14ac:dyDescent="0.3">
      <c r="A245" s="1">
        <v>510</v>
      </c>
      <c r="B245" s="2">
        <v>45540</v>
      </c>
      <c r="C245" s="1" t="s">
        <v>13</v>
      </c>
      <c r="D245" s="1" t="s">
        <v>43</v>
      </c>
      <c r="E245" s="1">
        <v>10</v>
      </c>
      <c r="F245" s="1">
        <v>11000</v>
      </c>
      <c r="G245" s="1">
        <v>110000</v>
      </c>
      <c r="H245" s="1">
        <v>24100</v>
      </c>
      <c r="I245" s="1" t="s">
        <v>15</v>
      </c>
      <c r="J245" s="1">
        <v>4</v>
      </c>
      <c r="K245" s="1" t="s">
        <v>15</v>
      </c>
      <c r="L245" s="1">
        <v>5</v>
      </c>
      <c r="M245" s="1" t="s">
        <v>20</v>
      </c>
      <c r="N245" s="5">
        <f>IF(Tabulka1[[#This Row],[E-shop]]="ano",1,0)</f>
        <v>0</v>
      </c>
      <c r="O245" s="5">
        <f>IF(Tabulka1[[#This Row],[Reklamace]]="ano",1,0)</f>
        <v>0</v>
      </c>
    </row>
    <row r="246" spans="1:15" ht="15.75" customHeight="1" x14ac:dyDescent="0.3">
      <c r="A246" s="1">
        <v>671</v>
      </c>
      <c r="B246" s="2">
        <v>45346</v>
      </c>
      <c r="C246" s="1" t="s">
        <v>31</v>
      </c>
      <c r="D246" s="1" t="s">
        <v>32</v>
      </c>
      <c r="E246" s="1">
        <v>11</v>
      </c>
      <c r="F246" s="1">
        <v>10000</v>
      </c>
      <c r="G246" s="1">
        <v>110000</v>
      </c>
      <c r="H246" s="1">
        <v>32790</v>
      </c>
      <c r="I246" s="1" t="s">
        <v>16</v>
      </c>
      <c r="J246" s="1">
        <v>7</v>
      </c>
      <c r="K246" s="1" t="s">
        <v>16</v>
      </c>
      <c r="L246" s="1">
        <v>1</v>
      </c>
      <c r="M246" s="1" t="s">
        <v>20</v>
      </c>
      <c r="N246" s="5">
        <f>IF(Tabulka1[[#This Row],[E-shop]]="ano",1,0)</f>
        <v>1</v>
      </c>
      <c r="O246" s="5">
        <f>IF(Tabulka1[[#This Row],[Reklamace]]="ano",1,0)</f>
        <v>1</v>
      </c>
    </row>
    <row r="247" spans="1:15" ht="15.75" customHeight="1" x14ac:dyDescent="0.3">
      <c r="A247" s="1">
        <v>749</v>
      </c>
      <c r="B247" s="2">
        <v>45516</v>
      </c>
      <c r="C247" s="1" t="s">
        <v>18</v>
      </c>
      <c r="D247" s="1" t="s">
        <v>32</v>
      </c>
      <c r="E247" s="1">
        <v>11</v>
      </c>
      <c r="F247" s="1">
        <v>10000</v>
      </c>
      <c r="G247" s="1">
        <v>110000</v>
      </c>
      <c r="H247" s="1">
        <v>31543</v>
      </c>
      <c r="I247" s="1" t="s">
        <v>16</v>
      </c>
      <c r="J247" s="1">
        <v>8</v>
      </c>
      <c r="K247" s="1" t="s">
        <v>15</v>
      </c>
      <c r="L247" s="1">
        <v>2</v>
      </c>
      <c r="M247" s="1" t="s">
        <v>20</v>
      </c>
      <c r="N247" s="5">
        <f>IF(Tabulka1[[#This Row],[E-shop]]="ano",1,0)</f>
        <v>1</v>
      </c>
      <c r="O247" s="5">
        <f>IF(Tabulka1[[#This Row],[Reklamace]]="ano",1,0)</f>
        <v>0</v>
      </c>
    </row>
    <row r="248" spans="1:15" ht="15.75" customHeight="1" x14ac:dyDescent="0.3">
      <c r="A248" s="1">
        <v>917</v>
      </c>
      <c r="B248" s="2">
        <v>45398</v>
      </c>
      <c r="C248" s="1" t="s">
        <v>21</v>
      </c>
      <c r="D248" s="1" t="s">
        <v>48</v>
      </c>
      <c r="E248" s="1">
        <v>5</v>
      </c>
      <c r="F248" s="1">
        <v>22000</v>
      </c>
      <c r="G248" s="1">
        <v>110000</v>
      </c>
      <c r="H248" s="1">
        <v>25202</v>
      </c>
      <c r="I248" s="1" t="s">
        <v>16</v>
      </c>
      <c r="J248" s="1">
        <v>7</v>
      </c>
      <c r="K248" s="1" t="s">
        <v>15</v>
      </c>
      <c r="L248" s="1">
        <v>2</v>
      </c>
      <c r="M248" s="1" t="s">
        <v>20</v>
      </c>
      <c r="N248" s="5">
        <f>IF(Tabulka1[[#This Row],[E-shop]]="ano",1,0)</f>
        <v>1</v>
      </c>
      <c r="O248" s="5">
        <f>IF(Tabulka1[[#This Row],[Reklamace]]="ano",1,0)</f>
        <v>0</v>
      </c>
    </row>
    <row r="249" spans="1:15" ht="15.75" customHeight="1" x14ac:dyDescent="0.3">
      <c r="A249" s="1">
        <v>80</v>
      </c>
      <c r="B249" s="2">
        <v>45625</v>
      </c>
      <c r="C249" s="1" t="s">
        <v>25</v>
      </c>
      <c r="D249" s="1" t="s">
        <v>35</v>
      </c>
      <c r="E249" s="1">
        <v>9</v>
      </c>
      <c r="F249" s="1">
        <v>12000</v>
      </c>
      <c r="G249" s="1">
        <v>108000</v>
      </c>
      <c r="H249" s="1">
        <v>29755</v>
      </c>
      <c r="I249" s="1" t="s">
        <v>15</v>
      </c>
      <c r="J249" s="1">
        <v>4</v>
      </c>
      <c r="K249" s="1" t="s">
        <v>15</v>
      </c>
      <c r="L249" s="1">
        <v>7</v>
      </c>
      <c r="M249" s="1" t="s">
        <v>20</v>
      </c>
      <c r="N249" s="5">
        <f>IF(Tabulka1[[#This Row],[E-shop]]="ano",1,0)</f>
        <v>0</v>
      </c>
      <c r="O249" s="5">
        <f>IF(Tabulka1[[#This Row],[Reklamace]]="ano",1,0)</f>
        <v>0</v>
      </c>
    </row>
    <row r="250" spans="1:15" ht="15.75" customHeight="1" x14ac:dyDescent="0.3">
      <c r="A250" s="1">
        <v>87</v>
      </c>
      <c r="B250" s="2">
        <v>45765</v>
      </c>
      <c r="C250" s="1" t="s">
        <v>18</v>
      </c>
      <c r="D250" s="1" t="s">
        <v>19</v>
      </c>
      <c r="E250" s="1">
        <v>12</v>
      </c>
      <c r="F250" s="1">
        <v>9000</v>
      </c>
      <c r="G250" s="1">
        <v>108000</v>
      </c>
      <c r="H250" s="1">
        <v>30900</v>
      </c>
      <c r="I250" s="1" t="s">
        <v>16</v>
      </c>
      <c r="J250" s="1">
        <v>8</v>
      </c>
      <c r="K250" s="1" t="s">
        <v>16</v>
      </c>
      <c r="L250" s="1">
        <v>2</v>
      </c>
      <c r="M250" s="1" t="s">
        <v>20</v>
      </c>
      <c r="N250" s="5">
        <f>IF(Tabulka1[[#This Row],[E-shop]]="ano",1,0)</f>
        <v>1</v>
      </c>
      <c r="O250" s="5">
        <f>IF(Tabulka1[[#This Row],[Reklamace]]="ano",1,0)</f>
        <v>1</v>
      </c>
    </row>
    <row r="251" spans="1:15" ht="15.75" customHeight="1" x14ac:dyDescent="0.3">
      <c r="A251" s="1">
        <v>109</v>
      </c>
      <c r="B251" s="2">
        <v>45708</v>
      </c>
      <c r="C251" s="1" t="s">
        <v>21</v>
      </c>
      <c r="D251" s="1" t="s">
        <v>35</v>
      </c>
      <c r="E251" s="1">
        <v>9</v>
      </c>
      <c r="F251" s="1">
        <v>12000</v>
      </c>
      <c r="G251" s="1">
        <v>108000</v>
      </c>
      <c r="H251" s="1">
        <v>21017</v>
      </c>
      <c r="I251" s="1" t="s">
        <v>15</v>
      </c>
      <c r="J251" s="1">
        <v>3</v>
      </c>
      <c r="K251" s="1" t="s">
        <v>15</v>
      </c>
      <c r="L251" s="1">
        <v>6</v>
      </c>
      <c r="M251" s="1" t="s">
        <v>17</v>
      </c>
      <c r="N251" s="5">
        <f>IF(Tabulka1[[#This Row],[E-shop]]="ano",1,0)</f>
        <v>0</v>
      </c>
      <c r="O251" s="5">
        <f>IF(Tabulka1[[#This Row],[Reklamace]]="ano",1,0)</f>
        <v>0</v>
      </c>
    </row>
    <row r="252" spans="1:15" ht="15.75" customHeight="1" x14ac:dyDescent="0.3">
      <c r="A252" s="1">
        <v>144</v>
      </c>
      <c r="B252" s="2">
        <v>45898</v>
      </c>
      <c r="C252" s="1" t="s">
        <v>31</v>
      </c>
      <c r="D252" s="1" t="s">
        <v>19</v>
      </c>
      <c r="E252" s="1">
        <v>12</v>
      </c>
      <c r="F252" s="1">
        <v>9000</v>
      </c>
      <c r="G252" s="1">
        <v>108000</v>
      </c>
      <c r="H252" s="1">
        <v>18632</v>
      </c>
      <c r="I252" s="1" t="s">
        <v>16</v>
      </c>
      <c r="J252" s="1">
        <v>5</v>
      </c>
      <c r="K252" s="1" t="s">
        <v>16</v>
      </c>
      <c r="L252" s="1">
        <v>6</v>
      </c>
      <c r="M252" s="1" t="s">
        <v>20</v>
      </c>
      <c r="N252" s="5">
        <f>IF(Tabulka1[[#This Row],[E-shop]]="ano",1,0)</f>
        <v>1</v>
      </c>
      <c r="O252" s="5">
        <f>IF(Tabulka1[[#This Row],[Reklamace]]="ano",1,0)</f>
        <v>1</v>
      </c>
    </row>
    <row r="253" spans="1:15" ht="15.75" customHeight="1" x14ac:dyDescent="0.3">
      <c r="A253" s="1">
        <v>162</v>
      </c>
      <c r="B253" s="2">
        <v>45806</v>
      </c>
      <c r="C253" s="1" t="s">
        <v>18</v>
      </c>
      <c r="D253" s="1" t="s">
        <v>38</v>
      </c>
      <c r="E253" s="1">
        <v>12</v>
      </c>
      <c r="F253" s="1">
        <v>9000</v>
      </c>
      <c r="G253" s="1">
        <v>108000</v>
      </c>
      <c r="H253" s="1">
        <v>23356</v>
      </c>
      <c r="I253" s="1" t="s">
        <v>16</v>
      </c>
      <c r="J253" s="1">
        <v>7</v>
      </c>
      <c r="K253" s="1" t="s">
        <v>16</v>
      </c>
      <c r="L253" s="1">
        <v>3</v>
      </c>
      <c r="M253" s="1" t="s">
        <v>20</v>
      </c>
      <c r="N253" s="5">
        <f>IF(Tabulka1[[#This Row],[E-shop]]="ano",1,0)</f>
        <v>1</v>
      </c>
      <c r="O253" s="5">
        <f>IF(Tabulka1[[#This Row],[Reklamace]]="ano",1,0)</f>
        <v>1</v>
      </c>
    </row>
    <row r="254" spans="1:15" ht="15.75" customHeight="1" x14ac:dyDescent="0.3">
      <c r="A254" s="1">
        <v>244</v>
      </c>
      <c r="B254" s="2">
        <v>45454</v>
      </c>
      <c r="C254" s="1" t="s">
        <v>31</v>
      </c>
      <c r="D254" s="1" t="s">
        <v>28</v>
      </c>
      <c r="E254" s="1">
        <v>6</v>
      </c>
      <c r="F254" s="1">
        <v>18000</v>
      </c>
      <c r="G254" s="1">
        <v>108000</v>
      </c>
      <c r="H254" s="1">
        <v>31024</v>
      </c>
      <c r="I254" s="1" t="s">
        <v>16</v>
      </c>
      <c r="J254" s="1">
        <v>8</v>
      </c>
      <c r="K254" s="1" t="s">
        <v>15</v>
      </c>
      <c r="L254" s="1">
        <v>1</v>
      </c>
      <c r="M254" s="1" t="s">
        <v>20</v>
      </c>
      <c r="N254" s="5">
        <f>IF(Tabulka1[[#This Row],[E-shop]]="ano",1,0)</f>
        <v>1</v>
      </c>
      <c r="O254" s="5">
        <f>IF(Tabulka1[[#This Row],[Reklamace]]="ano",1,0)</f>
        <v>0</v>
      </c>
    </row>
    <row r="255" spans="1:15" ht="15.75" customHeight="1" x14ac:dyDescent="0.3">
      <c r="A255" s="1">
        <v>391</v>
      </c>
      <c r="B255" s="2">
        <v>45364</v>
      </c>
      <c r="C255" s="1" t="s">
        <v>18</v>
      </c>
      <c r="D255" s="1" t="s">
        <v>28</v>
      </c>
      <c r="E255" s="1">
        <v>6</v>
      </c>
      <c r="F255" s="1">
        <v>18000</v>
      </c>
      <c r="G255" s="1">
        <v>108000</v>
      </c>
      <c r="H255" s="1">
        <v>17369</v>
      </c>
      <c r="I255" s="1" t="s">
        <v>16</v>
      </c>
      <c r="J255" s="1">
        <v>7</v>
      </c>
      <c r="K255" s="1" t="s">
        <v>16</v>
      </c>
      <c r="L255" s="1">
        <v>4</v>
      </c>
      <c r="M255" s="1" t="s">
        <v>17</v>
      </c>
      <c r="N255" s="5">
        <f>IF(Tabulka1[[#This Row],[E-shop]]="ano",1,0)</f>
        <v>1</v>
      </c>
      <c r="O255" s="5">
        <f>IF(Tabulka1[[#This Row],[Reklamace]]="ano",1,0)</f>
        <v>1</v>
      </c>
    </row>
    <row r="256" spans="1:15" ht="15.75" customHeight="1" x14ac:dyDescent="0.3">
      <c r="A256" s="1">
        <v>467</v>
      </c>
      <c r="B256" s="2">
        <v>45501</v>
      </c>
      <c r="C256" s="1" t="s">
        <v>25</v>
      </c>
      <c r="D256" s="1" t="s">
        <v>28</v>
      </c>
      <c r="E256" s="1">
        <v>6</v>
      </c>
      <c r="F256" s="1">
        <v>18000</v>
      </c>
      <c r="G256" s="1">
        <v>108000</v>
      </c>
      <c r="H256" s="1">
        <v>17082</v>
      </c>
      <c r="I256" s="1" t="s">
        <v>15</v>
      </c>
      <c r="J256" s="1">
        <v>5</v>
      </c>
      <c r="K256" s="1" t="s">
        <v>15</v>
      </c>
      <c r="L256" s="1">
        <v>5</v>
      </c>
      <c r="M256" s="1" t="s">
        <v>20</v>
      </c>
      <c r="N256" s="5">
        <f>IF(Tabulka1[[#This Row],[E-shop]]="ano",1,0)</f>
        <v>0</v>
      </c>
      <c r="O256" s="5">
        <f>IF(Tabulka1[[#This Row],[Reklamace]]="ano",1,0)</f>
        <v>0</v>
      </c>
    </row>
    <row r="257" spans="1:15" ht="15.75" customHeight="1" x14ac:dyDescent="0.3">
      <c r="A257" s="1">
        <v>468</v>
      </c>
      <c r="B257" s="2">
        <v>45832</v>
      </c>
      <c r="C257" s="1" t="s">
        <v>13</v>
      </c>
      <c r="D257" s="1" t="s">
        <v>26</v>
      </c>
      <c r="E257" s="1">
        <v>9</v>
      </c>
      <c r="F257" s="1">
        <v>12000</v>
      </c>
      <c r="G257" s="1">
        <v>108000</v>
      </c>
      <c r="H257" s="1">
        <v>31781</v>
      </c>
      <c r="I257" s="1" t="s">
        <v>16</v>
      </c>
      <c r="J257" s="1">
        <v>5</v>
      </c>
      <c r="K257" s="1" t="s">
        <v>16</v>
      </c>
      <c r="L257" s="1">
        <v>4</v>
      </c>
      <c r="M257" s="1" t="s">
        <v>17</v>
      </c>
      <c r="N257" s="5">
        <f>IF(Tabulka1[[#This Row],[E-shop]]="ano",1,0)</f>
        <v>1</v>
      </c>
      <c r="O257" s="5">
        <f>IF(Tabulka1[[#This Row],[Reklamace]]="ano",1,0)</f>
        <v>1</v>
      </c>
    </row>
    <row r="258" spans="1:15" ht="15.75" customHeight="1" x14ac:dyDescent="0.3">
      <c r="A258" s="1">
        <v>474</v>
      </c>
      <c r="B258" s="2">
        <v>45764</v>
      </c>
      <c r="C258" s="1" t="s">
        <v>18</v>
      </c>
      <c r="D258" s="1" t="s">
        <v>14</v>
      </c>
      <c r="E258" s="1">
        <v>9</v>
      </c>
      <c r="F258" s="1">
        <v>12000</v>
      </c>
      <c r="G258" s="1">
        <v>108000</v>
      </c>
      <c r="H258" s="1">
        <v>19297</v>
      </c>
      <c r="I258" s="1" t="s">
        <v>16</v>
      </c>
      <c r="J258" s="1">
        <v>5</v>
      </c>
      <c r="K258" s="1" t="s">
        <v>15</v>
      </c>
      <c r="L258" s="1">
        <v>5</v>
      </c>
      <c r="M258" s="1" t="s">
        <v>20</v>
      </c>
      <c r="N258" s="5">
        <f>IF(Tabulka1[[#This Row],[E-shop]]="ano",1,0)</f>
        <v>1</v>
      </c>
      <c r="O258" s="5">
        <f>IF(Tabulka1[[#This Row],[Reklamace]]="ano",1,0)</f>
        <v>0</v>
      </c>
    </row>
    <row r="259" spans="1:15" ht="15.75" customHeight="1" x14ac:dyDescent="0.3">
      <c r="A259" s="1">
        <v>498</v>
      </c>
      <c r="B259" s="2">
        <v>45732</v>
      </c>
      <c r="C259" s="1" t="s">
        <v>13</v>
      </c>
      <c r="D259" s="1" t="s">
        <v>19</v>
      </c>
      <c r="E259" s="1">
        <v>12</v>
      </c>
      <c r="F259" s="1">
        <v>9000</v>
      </c>
      <c r="G259" s="1">
        <v>108000</v>
      </c>
      <c r="H259" s="1">
        <v>26677</v>
      </c>
      <c r="I259" s="1" t="s">
        <v>16</v>
      </c>
      <c r="J259" s="1">
        <v>5</v>
      </c>
      <c r="K259" s="1" t="s">
        <v>16</v>
      </c>
      <c r="L259" s="1">
        <v>3</v>
      </c>
      <c r="M259" s="1" t="s">
        <v>20</v>
      </c>
      <c r="N259" s="5">
        <f>IF(Tabulka1[[#This Row],[E-shop]]="ano",1,0)</f>
        <v>1</v>
      </c>
      <c r="O259" s="5">
        <f>IF(Tabulka1[[#This Row],[Reklamace]]="ano",1,0)</f>
        <v>1</v>
      </c>
    </row>
    <row r="260" spans="1:15" ht="15.75" customHeight="1" x14ac:dyDescent="0.3">
      <c r="A260" s="1">
        <v>534</v>
      </c>
      <c r="B260" s="2">
        <v>45564</v>
      </c>
      <c r="C260" s="1" t="s">
        <v>18</v>
      </c>
      <c r="D260" s="1" t="s">
        <v>19</v>
      </c>
      <c r="E260" s="1">
        <v>12</v>
      </c>
      <c r="F260" s="1">
        <v>9000</v>
      </c>
      <c r="G260" s="1">
        <v>108000</v>
      </c>
      <c r="H260" s="1">
        <v>26379</v>
      </c>
      <c r="I260" s="1" t="s">
        <v>15</v>
      </c>
      <c r="J260" s="1">
        <v>7</v>
      </c>
      <c r="K260" s="1" t="s">
        <v>16</v>
      </c>
      <c r="L260" s="1">
        <v>4</v>
      </c>
      <c r="M260" s="1" t="s">
        <v>20</v>
      </c>
      <c r="N260" s="5">
        <f>IF(Tabulka1[[#This Row],[E-shop]]="ano",1,0)</f>
        <v>0</v>
      </c>
      <c r="O260" s="5">
        <f>IF(Tabulka1[[#This Row],[Reklamace]]="ano",1,0)</f>
        <v>1</v>
      </c>
    </row>
    <row r="261" spans="1:15" ht="15.75" customHeight="1" x14ac:dyDescent="0.3">
      <c r="A261" s="1">
        <v>555</v>
      </c>
      <c r="B261" s="2">
        <v>45607</v>
      </c>
      <c r="C261" s="1" t="s">
        <v>25</v>
      </c>
      <c r="D261" s="1" t="s">
        <v>14</v>
      </c>
      <c r="E261" s="1">
        <v>9</v>
      </c>
      <c r="F261" s="1">
        <v>12000</v>
      </c>
      <c r="G261" s="1">
        <v>108000</v>
      </c>
      <c r="H261" s="1">
        <v>20343</v>
      </c>
      <c r="I261" s="1" t="s">
        <v>15</v>
      </c>
      <c r="J261" s="1">
        <v>8</v>
      </c>
      <c r="K261" s="1" t="s">
        <v>15</v>
      </c>
      <c r="L261" s="1">
        <v>3</v>
      </c>
      <c r="M261" s="1" t="s">
        <v>17</v>
      </c>
      <c r="N261" s="5">
        <f>IF(Tabulka1[[#This Row],[E-shop]]="ano",1,0)</f>
        <v>0</v>
      </c>
      <c r="O261" s="5">
        <f>IF(Tabulka1[[#This Row],[Reklamace]]="ano",1,0)</f>
        <v>0</v>
      </c>
    </row>
    <row r="262" spans="1:15" ht="15.75" customHeight="1" x14ac:dyDescent="0.3">
      <c r="A262" s="1">
        <v>605</v>
      </c>
      <c r="B262" s="2">
        <v>45776</v>
      </c>
      <c r="C262" s="1" t="s">
        <v>31</v>
      </c>
      <c r="D262" s="1" t="s">
        <v>28</v>
      </c>
      <c r="E262" s="1">
        <v>6</v>
      </c>
      <c r="F262" s="1">
        <v>18000</v>
      </c>
      <c r="G262" s="1">
        <v>108000</v>
      </c>
      <c r="H262" s="1">
        <v>27355</v>
      </c>
      <c r="I262" s="1" t="s">
        <v>16</v>
      </c>
      <c r="J262" s="1">
        <v>2</v>
      </c>
      <c r="K262" s="1" t="s">
        <v>15</v>
      </c>
      <c r="L262" s="1">
        <v>6</v>
      </c>
      <c r="M262" s="1" t="s">
        <v>20</v>
      </c>
      <c r="N262" s="5">
        <f>IF(Tabulka1[[#This Row],[E-shop]]="ano",1,0)</f>
        <v>1</v>
      </c>
      <c r="O262" s="5">
        <f>IF(Tabulka1[[#This Row],[Reklamace]]="ano",1,0)</f>
        <v>0</v>
      </c>
    </row>
    <row r="263" spans="1:15" ht="15.75" customHeight="1" x14ac:dyDescent="0.3">
      <c r="A263" s="1">
        <v>610</v>
      </c>
      <c r="B263" s="2">
        <v>45370</v>
      </c>
      <c r="C263" s="1" t="s">
        <v>36</v>
      </c>
      <c r="D263" s="1" t="s">
        <v>26</v>
      </c>
      <c r="E263" s="1">
        <v>9</v>
      </c>
      <c r="F263" s="1">
        <v>12000</v>
      </c>
      <c r="G263" s="1">
        <v>108000</v>
      </c>
      <c r="H263" s="1">
        <v>32209</v>
      </c>
      <c r="I263" s="1" t="s">
        <v>16</v>
      </c>
      <c r="J263" s="1">
        <v>4</v>
      </c>
      <c r="K263" s="1" t="s">
        <v>16</v>
      </c>
      <c r="L263" s="1">
        <v>4</v>
      </c>
      <c r="M263" s="1" t="s">
        <v>20</v>
      </c>
      <c r="N263" s="5">
        <f>IF(Tabulka1[[#This Row],[E-shop]]="ano",1,0)</f>
        <v>1</v>
      </c>
      <c r="O263" s="5">
        <f>IF(Tabulka1[[#This Row],[Reklamace]]="ano",1,0)</f>
        <v>1</v>
      </c>
    </row>
    <row r="264" spans="1:15" ht="15.75" customHeight="1" x14ac:dyDescent="0.3">
      <c r="A264" s="1">
        <v>636</v>
      </c>
      <c r="B264" s="2">
        <v>45609</v>
      </c>
      <c r="C264" s="1" t="s">
        <v>23</v>
      </c>
      <c r="D264" s="1" t="s">
        <v>35</v>
      </c>
      <c r="E264" s="1">
        <v>9</v>
      </c>
      <c r="F264" s="1">
        <v>12000</v>
      </c>
      <c r="G264" s="1">
        <v>108000</v>
      </c>
      <c r="H264" s="1">
        <v>25470</v>
      </c>
      <c r="I264" s="1" t="s">
        <v>16</v>
      </c>
      <c r="J264" s="1">
        <v>5</v>
      </c>
      <c r="K264" s="1" t="s">
        <v>15</v>
      </c>
      <c r="L264" s="1">
        <v>3</v>
      </c>
      <c r="M264" s="1" t="s">
        <v>20</v>
      </c>
      <c r="N264" s="5">
        <f>IF(Tabulka1[[#This Row],[E-shop]]="ano",1,0)</f>
        <v>1</v>
      </c>
      <c r="O264" s="5">
        <f>IF(Tabulka1[[#This Row],[Reklamace]]="ano",1,0)</f>
        <v>0</v>
      </c>
    </row>
    <row r="265" spans="1:15" ht="15.75" customHeight="1" x14ac:dyDescent="0.3">
      <c r="A265" s="1">
        <v>714</v>
      </c>
      <c r="B265" s="2">
        <v>45584</v>
      </c>
      <c r="C265" s="1" t="s">
        <v>23</v>
      </c>
      <c r="D265" s="1" t="s">
        <v>38</v>
      </c>
      <c r="E265" s="1">
        <v>12</v>
      </c>
      <c r="F265" s="1">
        <v>9000</v>
      </c>
      <c r="G265" s="1">
        <v>108000</v>
      </c>
      <c r="H265" s="1">
        <v>23205</v>
      </c>
      <c r="I265" s="1" t="s">
        <v>15</v>
      </c>
      <c r="J265" s="1">
        <v>8</v>
      </c>
      <c r="K265" s="1" t="s">
        <v>16</v>
      </c>
      <c r="L265" s="1">
        <v>2</v>
      </c>
      <c r="M265" s="1" t="s">
        <v>20</v>
      </c>
      <c r="N265" s="5">
        <f>IF(Tabulka1[[#This Row],[E-shop]]="ano",1,0)</f>
        <v>0</v>
      </c>
      <c r="O265" s="5">
        <f>IF(Tabulka1[[#This Row],[Reklamace]]="ano",1,0)</f>
        <v>1</v>
      </c>
    </row>
    <row r="266" spans="1:15" ht="15.75" customHeight="1" x14ac:dyDescent="0.3">
      <c r="A266" s="1">
        <v>717</v>
      </c>
      <c r="B266" s="2">
        <v>45567</v>
      </c>
      <c r="C266" s="1" t="s">
        <v>31</v>
      </c>
      <c r="D266" s="1" t="s">
        <v>35</v>
      </c>
      <c r="E266" s="1">
        <v>9</v>
      </c>
      <c r="F266" s="1">
        <v>12000</v>
      </c>
      <c r="G266" s="1">
        <v>108000</v>
      </c>
      <c r="H266" s="1">
        <v>22862</v>
      </c>
      <c r="I266" s="1" t="s">
        <v>16</v>
      </c>
      <c r="J266" s="1">
        <v>7</v>
      </c>
      <c r="K266" s="1" t="s">
        <v>15</v>
      </c>
      <c r="L266" s="1">
        <v>4</v>
      </c>
      <c r="M266" s="1" t="s">
        <v>20</v>
      </c>
      <c r="N266" s="5">
        <f>IF(Tabulka1[[#This Row],[E-shop]]="ano",1,0)</f>
        <v>1</v>
      </c>
      <c r="O266" s="5">
        <f>IF(Tabulka1[[#This Row],[Reklamace]]="ano",1,0)</f>
        <v>0</v>
      </c>
    </row>
    <row r="267" spans="1:15" ht="15.75" customHeight="1" x14ac:dyDescent="0.3">
      <c r="A267" s="1">
        <v>736</v>
      </c>
      <c r="B267" s="2">
        <v>45717</v>
      </c>
      <c r="C267" s="1" t="s">
        <v>23</v>
      </c>
      <c r="D267" s="1" t="s">
        <v>35</v>
      </c>
      <c r="E267" s="1">
        <v>9</v>
      </c>
      <c r="F267" s="1">
        <v>12000</v>
      </c>
      <c r="G267" s="1">
        <v>108000</v>
      </c>
      <c r="H267" s="1">
        <v>29496</v>
      </c>
      <c r="I267" s="1" t="s">
        <v>15</v>
      </c>
      <c r="J267" s="1">
        <v>2</v>
      </c>
      <c r="K267" s="1" t="s">
        <v>15</v>
      </c>
      <c r="L267" s="1">
        <v>8</v>
      </c>
      <c r="M267" s="1" t="s">
        <v>17</v>
      </c>
      <c r="N267" s="5">
        <f>IF(Tabulka1[[#This Row],[E-shop]]="ano",1,0)</f>
        <v>0</v>
      </c>
      <c r="O267" s="5">
        <f>IF(Tabulka1[[#This Row],[Reklamace]]="ano",1,0)</f>
        <v>0</v>
      </c>
    </row>
    <row r="268" spans="1:15" ht="15.75" customHeight="1" x14ac:dyDescent="0.3">
      <c r="A268" s="1">
        <v>802</v>
      </c>
      <c r="B268" s="2">
        <v>45594</v>
      </c>
      <c r="C268" s="1" t="s">
        <v>23</v>
      </c>
      <c r="D268" s="1" t="s">
        <v>38</v>
      </c>
      <c r="E268" s="1">
        <v>12</v>
      </c>
      <c r="F268" s="1">
        <v>9000</v>
      </c>
      <c r="G268" s="1">
        <v>108000</v>
      </c>
      <c r="H268" s="1">
        <v>22684</v>
      </c>
      <c r="I268" s="1" t="s">
        <v>15</v>
      </c>
      <c r="J268" s="1">
        <v>3</v>
      </c>
      <c r="K268" s="1" t="s">
        <v>15</v>
      </c>
      <c r="L268" s="1">
        <v>7</v>
      </c>
      <c r="M268" s="1" t="s">
        <v>20</v>
      </c>
      <c r="N268" s="5">
        <f>IF(Tabulka1[[#This Row],[E-shop]]="ano",1,0)</f>
        <v>0</v>
      </c>
      <c r="O268" s="5">
        <f>IF(Tabulka1[[#This Row],[Reklamace]]="ano",1,0)</f>
        <v>0</v>
      </c>
    </row>
    <row r="269" spans="1:15" ht="15.75" customHeight="1" x14ac:dyDescent="0.3">
      <c r="A269" s="1">
        <v>804</v>
      </c>
      <c r="B269" s="2">
        <v>45948</v>
      </c>
      <c r="C269" s="1" t="s">
        <v>23</v>
      </c>
      <c r="D269" s="1" t="s">
        <v>35</v>
      </c>
      <c r="E269" s="1">
        <v>9</v>
      </c>
      <c r="F269" s="1">
        <v>12000</v>
      </c>
      <c r="G269" s="1">
        <v>108000</v>
      </c>
      <c r="H269" s="1">
        <v>25729</v>
      </c>
      <c r="I269" s="1" t="s">
        <v>15</v>
      </c>
      <c r="J269" s="1">
        <v>7</v>
      </c>
      <c r="K269" s="1" t="s">
        <v>16</v>
      </c>
      <c r="L269" s="1">
        <v>4</v>
      </c>
      <c r="M269" s="1" t="s">
        <v>20</v>
      </c>
      <c r="N269" s="5">
        <f>IF(Tabulka1[[#This Row],[E-shop]]="ano",1,0)</f>
        <v>0</v>
      </c>
      <c r="O269" s="5">
        <f>IF(Tabulka1[[#This Row],[Reklamace]]="ano",1,0)</f>
        <v>1</v>
      </c>
    </row>
    <row r="270" spans="1:15" ht="15.75" customHeight="1" x14ac:dyDescent="0.3">
      <c r="A270" s="1">
        <v>881</v>
      </c>
      <c r="B270" s="2">
        <v>45712</v>
      </c>
      <c r="C270" s="1" t="s">
        <v>23</v>
      </c>
      <c r="D270" s="1" t="s">
        <v>19</v>
      </c>
      <c r="E270" s="1">
        <v>12</v>
      </c>
      <c r="F270" s="1">
        <v>9000</v>
      </c>
      <c r="G270" s="1">
        <v>108000</v>
      </c>
      <c r="H270" s="1">
        <v>30692</v>
      </c>
      <c r="I270" s="1" t="s">
        <v>16</v>
      </c>
      <c r="J270" s="1">
        <v>8</v>
      </c>
      <c r="K270" s="1" t="s">
        <v>16</v>
      </c>
      <c r="L270" s="1">
        <v>1</v>
      </c>
      <c r="M270" s="1" t="s">
        <v>20</v>
      </c>
      <c r="N270" s="5">
        <f>IF(Tabulka1[[#This Row],[E-shop]]="ano",1,0)</f>
        <v>1</v>
      </c>
      <c r="O270" s="5">
        <f>IF(Tabulka1[[#This Row],[Reklamace]]="ano",1,0)</f>
        <v>1</v>
      </c>
    </row>
    <row r="271" spans="1:15" ht="15.75" customHeight="1" x14ac:dyDescent="0.3">
      <c r="A271" s="1">
        <v>902</v>
      </c>
      <c r="B271" s="2">
        <v>45449</v>
      </c>
      <c r="C271" s="1" t="s">
        <v>21</v>
      </c>
      <c r="D271" s="1" t="s">
        <v>35</v>
      </c>
      <c r="E271" s="1">
        <v>9</v>
      </c>
      <c r="F271" s="1">
        <v>12000</v>
      </c>
      <c r="G271" s="1">
        <v>108000</v>
      </c>
      <c r="H271" s="1">
        <v>17129</v>
      </c>
      <c r="I271" s="1" t="s">
        <v>15</v>
      </c>
      <c r="J271" s="1">
        <v>3</v>
      </c>
      <c r="K271" s="1" t="s">
        <v>15</v>
      </c>
      <c r="L271" s="1">
        <v>7</v>
      </c>
      <c r="M271" s="1" t="s">
        <v>20</v>
      </c>
      <c r="N271" s="5">
        <f>IF(Tabulka1[[#This Row],[E-shop]]="ano",1,0)</f>
        <v>0</v>
      </c>
      <c r="O271" s="5">
        <f>IF(Tabulka1[[#This Row],[Reklamace]]="ano",1,0)</f>
        <v>0</v>
      </c>
    </row>
    <row r="272" spans="1:15" ht="15.75" customHeight="1" x14ac:dyDescent="0.3">
      <c r="A272" s="1">
        <v>914</v>
      </c>
      <c r="B272" s="2">
        <v>45402</v>
      </c>
      <c r="C272" s="1" t="s">
        <v>25</v>
      </c>
      <c r="D272" s="1" t="s">
        <v>38</v>
      </c>
      <c r="E272" s="1">
        <v>12</v>
      </c>
      <c r="F272" s="1">
        <v>9000</v>
      </c>
      <c r="G272" s="1">
        <v>108000</v>
      </c>
      <c r="H272" s="1">
        <v>26154</v>
      </c>
      <c r="I272" s="1" t="s">
        <v>15</v>
      </c>
      <c r="J272" s="1">
        <v>5</v>
      </c>
      <c r="K272" s="1" t="s">
        <v>16</v>
      </c>
      <c r="L272" s="1">
        <v>3</v>
      </c>
      <c r="M272" s="1" t="s">
        <v>20</v>
      </c>
      <c r="N272" s="5">
        <f>IF(Tabulka1[[#This Row],[E-shop]]="ano",1,0)</f>
        <v>0</v>
      </c>
      <c r="O272" s="5">
        <f>IF(Tabulka1[[#This Row],[Reklamace]]="ano",1,0)</f>
        <v>1</v>
      </c>
    </row>
    <row r="273" spans="1:15" ht="15.75" customHeight="1" x14ac:dyDescent="0.3">
      <c r="A273" s="1">
        <v>964</v>
      </c>
      <c r="B273" s="2">
        <v>45530</v>
      </c>
      <c r="C273" s="1" t="s">
        <v>36</v>
      </c>
      <c r="D273" s="1" t="s">
        <v>35</v>
      </c>
      <c r="E273" s="1">
        <v>9</v>
      </c>
      <c r="F273" s="1">
        <v>12000</v>
      </c>
      <c r="G273" s="1">
        <v>108000</v>
      </c>
      <c r="H273" s="1">
        <v>26257</v>
      </c>
      <c r="I273" s="1" t="s">
        <v>16</v>
      </c>
      <c r="J273" s="1">
        <v>8</v>
      </c>
      <c r="K273" s="1" t="s">
        <v>16</v>
      </c>
      <c r="L273" s="1">
        <v>1</v>
      </c>
      <c r="M273" s="1" t="s">
        <v>17</v>
      </c>
      <c r="N273" s="5">
        <f>IF(Tabulka1[[#This Row],[E-shop]]="ano",1,0)</f>
        <v>1</v>
      </c>
      <c r="O273" s="5">
        <f>IF(Tabulka1[[#This Row],[Reklamace]]="ano",1,0)</f>
        <v>1</v>
      </c>
    </row>
    <row r="274" spans="1:15" ht="15.75" customHeight="1" x14ac:dyDescent="0.3">
      <c r="A274" s="1">
        <v>997</v>
      </c>
      <c r="B274" s="2">
        <v>45821</v>
      </c>
      <c r="C274" s="1" t="s">
        <v>18</v>
      </c>
      <c r="D274" s="1" t="s">
        <v>28</v>
      </c>
      <c r="E274" s="1">
        <v>6</v>
      </c>
      <c r="F274" s="1">
        <v>18000</v>
      </c>
      <c r="G274" s="1">
        <v>108000</v>
      </c>
      <c r="H274" s="1">
        <v>24688</v>
      </c>
      <c r="I274" s="1" t="s">
        <v>16</v>
      </c>
      <c r="J274" s="1">
        <v>6</v>
      </c>
      <c r="K274" s="1" t="s">
        <v>15</v>
      </c>
      <c r="L274" s="1">
        <v>5</v>
      </c>
      <c r="M274" s="1" t="s">
        <v>20</v>
      </c>
      <c r="N274" s="5">
        <f>IF(Tabulka1[[#This Row],[E-shop]]="ano",1,0)</f>
        <v>1</v>
      </c>
      <c r="O274" s="5">
        <f>IF(Tabulka1[[#This Row],[Reklamace]]="ano",1,0)</f>
        <v>0</v>
      </c>
    </row>
    <row r="275" spans="1:15" ht="15.75" customHeight="1" x14ac:dyDescent="0.3">
      <c r="A275" s="1">
        <v>47</v>
      </c>
      <c r="B275" s="2">
        <v>45927</v>
      </c>
      <c r="C275" s="1" t="s">
        <v>31</v>
      </c>
      <c r="D275" s="1" t="s">
        <v>22</v>
      </c>
      <c r="E275" s="1">
        <v>7</v>
      </c>
      <c r="F275" s="1">
        <v>15000</v>
      </c>
      <c r="G275" s="1">
        <v>105000</v>
      </c>
      <c r="H275" s="1">
        <v>20494</v>
      </c>
      <c r="I275" s="1" t="s">
        <v>15</v>
      </c>
      <c r="J275" s="1">
        <v>5</v>
      </c>
      <c r="K275" s="1" t="s">
        <v>15</v>
      </c>
      <c r="L275" s="1">
        <v>4</v>
      </c>
      <c r="M275" s="1" t="s">
        <v>20</v>
      </c>
      <c r="N275" s="5">
        <f>IF(Tabulka1[[#This Row],[E-shop]]="ano",1,0)</f>
        <v>0</v>
      </c>
      <c r="O275" s="5">
        <f>IF(Tabulka1[[#This Row],[Reklamace]]="ano",1,0)</f>
        <v>0</v>
      </c>
    </row>
    <row r="276" spans="1:15" ht="15.75" customHeight="1" x14ac:dyDescent="0.3">
      <c r="A276" s="1">
        <v>282</v>
      </c>
      <c r="B276" s="2">
        <v>45964</v>
      </c>
      <c r="C276" s="1" t="s">
        <v>31</v>
      </c>
      <c r="D276" s="1" t="s">
        <v>22</v>
      </c>
      <c r="E276" s="1">
        <v>7</v>
      </c>
      <c r="F276" s="1">
        <v>15000</v>
      </c>
      <c r="G276" s="1">
        <v>105000</v>
      </c>
      <c r="H276" s="1">
        <v>19941</v>
      </c>
      <c r="I276" s="1" t="s">
        <v>15</v>
      </c>
      <c r="J276" s="1">
        <v>6</v>
      </c>
      <c r="K276" s="1" t="s">
        <v>16</v>
      </c>
      <c r="L276" s="1">
        <v>4</v>
      </c>
      <c r="M276" s="1" t="s">
        <v>20</v>
      </c>
      <c r="N276" s="5">
        <f>IF(Tabulka1[[#This Row],[E-shop]]="ano",1,0)</f>
        <v>0</v>
      </c>
      <c r="O276" s="5">
        <f>IF(Tabulka1[[#This Row],[Reklamace]]="ano",1,0)</f>
        <v>1</v>
      </c>
    </row>
    <row r="277" spans="1:15" ht="15.75" customHeight="1" x14ac:dyDescent="0.3">
      <c r="A277" s="1">
        <v>297</v>
      </c>
      <c r="B277" s="2">
        <v>45932</v>
      </c>
      <c r="C277" s="1" t="s">
        <v>21</v>
      </c>
      <c r="D277" s="1" t="s">
        <v>22</v>
      </c>
      <c r="E277" s="1">
        <v>7</v>
      </c>
      <c r="F277" s="1">
        <v>15000</v>
      </c>
      <c r="G277" s="1">
        <v>105000</v>
      </c>
      <c r="H277" s="1">
        <v>18137</v>
      </c>
      <c r="I277" s="1" t="s">
        <v>15</v>
      </c>
      <c r="J277" s="1">
        <v>7</v>
      </c>
      <c r="K277" s="1" t="s">
        <v>16</v>
      </c>
      <c r="L277" s="1">
        <v>1</v>
      </c>
      <c r="M277" s="1" t="s">
        <v>17</v>
      </c>
      <c r="N277" s="5">
        <f>IF(Tabulka1[[#This Row],[E-shop]]="ano",1,0)</f>
        <v>0</v>
      </c>
      <c r="O277" s="5">
        <f>IF(Tabulka1[[#This Row],[Reklamace]]="ano",1,0)</f>
        <v>1</v>
      </c>
    </row>
    <row r="278" spans="1:15" ht="15.75" customHeight="1" x14ac:dyDescent="0.3">
      <c r="A278" s="1">
        <v>904</v>
      </c>
      <c r="B278" s="2">
        <v>45344</v>
      </c>
      <c r="C278" s="1" t="s">
        <v>21</v>
      </c>
      <c r="D278" s="1" t="s">
        <v>22</v>
      </c>
      <c r="E278" s="1">
        <v>7</v>
      </c>
      <c r="F278" s="1">
        <v>15000</v>
      </c>
      <c r="G278" s="1">
        <v>105000</v>
      </c>
      <c r="H278" s="1">
        <v>22886</v>
      </c>
      <c r="I278" s="1" t="s">
        <v>15</v>
      </c>
      <c r="J278" s="1">
        <v>2</v>
      </c>
      <c r="K278" s="1" t="s">
        <v>15</v>
      </c>
      <c r="L278" s="1">
        <v>8</v>
      </c>
      <c r="M278" s="1" t="s">
        <v>20</v>
      </c>
      <c r="N278" s="5">
        <f>IF(Tabulka1[[#This Row],[E-shop]]="ano",1,0)</f>
        <v>0</v>
      </c>
      <c r="O278" s="5">
        <f>IF(Tabulka1[[#This Row],[Reklamace]]="ano",1,0)</f>
        <v>0</v>
      </c>
    </row>
    <row r="279" spans="1:15" ht="15.75" customHeight="1" x14ac:dyDescent="0.3">
      <c r="A279" s="1">
        <v>17</v>
      </c>
      <c r="B279" s="2">
        <v>45922</v>
      </c>
      <c r="C279" s="1" t="s">
        <v>13</v>
      </c>
      <c r="D279" s="1" t="s">
        <v>30</v>
      </c>
      <c r="E279" s="1">
        <v>13</v>
      </c>
      <c r="F279" s="1">
        <v>8000</v>
      </c>
      <c r="G279" s="1">
        <v>104000</v>
      </c>
      <c r="H279" s="1">
        <v>22480</v>
      </c>
      <c r="I279" s="1" t="s">
        <v>16</v>
      </c>
      <c r="J279" s="1">
        <v>8</v>
      </c>
      <c r="K279" s="1" t="s">
        <v>15</v>
      </c>
      <c r="L279" s="1">
        <v>1</v>
      </c>
      <c r="M279" s="1" t="s">
        <v>20</v>
      </c>
      <c r="N279" s="5">
        <f>IF(Tabulka1[[#This Row],[E-shop]]="ano",1,0)</f>
        <v>1</v>
      </c>
      <c r="O279" s="5">
        <f>IF(Tabulka1[[#This Row],[Reklamace]]="ano",1,0)</f>
        <v>0</v>
      </c>
    </row>
    <row r="280" spans="1:15" ht="15.75" customHeight="1" x14ac:dyDescent="0.3">
      <c r="A280" s="1">
        <v>756</v>
      </c>
      <c r="B280" s="2">
        <v>45589</v>
      </c>
      <c r="C280" s="1" t="s">
        <v>21</v>
      </c>
      <c r="D280" s="1" t="s">
        <v>30</v>
      </c>
      <c r="E280" s="1">
        <v>13</v>
      </c>
      <c r="F280" s="1">
        <v>8000</v>
      </c>
      <c r="G280" s="1">
        <v>104000</v>
      </c>
      <c r="H280" s="1">
        <v>19455</v>
      </c>
      <c r="I280" s="1" t="s">
        <v>15</v>
      </c>
      <c r="J280" s="1">
        <v>7</v>
      </c>
      <c r="K280" s="1" t="s">
        <v>16</v>
      </c>
      <c r="L280" s="1">
        <v>2</v>
      </c>
      <c r="M280" s="1" t="s">
        <v>20</v>
      </c>
      <c r="N280" s="5">
        <f>IF(Tabulka1[[#This Row],[E-shop]]="ano",1,0)</f>
        <v>0</v>
      </c>
      <c r="O280" s="5">
        <f>IF(Tabulka1[[#This Row],[Reklamace]]="ano",1,0)</f>
        <v>1</v>
      </c>
    </row>
    <row r="281" spans="1:15" ht="15.75" customHeight="1" x14ac:dyDescent="0.3">
      <c r="A281" s="1">
        <v>798</v>
      </c>
      <c r="B281" s="2">
        <v>45717</v>
      </c>
      <c r="C281" s="1" t="s">
        <v>21</v>
      </c>
      <c r="D281" s="1" t="s">
        <v>30</v>
      </c>
      <c r="E281" s="1">
        <v>13</v>
      </c>
      <c r="F281" s="1">
        <v>8000</v>
      </c>
      <c r="G281" s="1">
        <v>104000</v>
      </c>
      <c r="H281" s="1">
        <v>24920</v>
      </c>
      <c r="I281" s="1" t="s">
        <v>16</v>
      </c>
      <c r="J281" s="1">
        <v>8</v>
      </c>
      <c r="K281" s="1" t="s">
        <v>16</v>
      </c>
      <c r="L281" s="1">
        <v>1</v>
      </c>
      <c r="M281" s="1" t="s">
        <v>20</v>
      </c>
      <c r="N281" s="5">
        <f>IF(Tabulka1[[#This Row],[E-shop]]="ano",1,0)</f>
        <v>1</v>
      </c>
      <c r="O281" s="5">
        <f>IF(Tabulka1[[#This Row],[Reklamace]]="ano",1,0)</f>
        <v>1</v>
      </c>
    </row>
    <row r="282" spans="1:15" ht="15.75" customHeight="1" x14ac:dyDescent="0.3">
      <c r="A282" s="1">
        <v>94</v>
      </c>
      <c r="B282" s="2">
        <v>45300</v>
      </c>
      <c r="C282" s="1" t="s">
        <v>23</v>
      </c>
      <c r="D282" s="1" t="s">
        <v>44</v>
      </c>
      <c r="E282" s="1">
        <v>10</v>
      </c>
      <c r="F282" s="1">
        <v>10000</v>
      </c>
      <c r="G282" s="1">
        <v>100000</v>
      </c>
      <c r="H282" s="1">
        <v>25694</v>
      </c>
      <c r="I282" s="1" t="s">
        <v>15</v>
      </c>
      <c r="J282" s="1">
        <v>5</v>
      </c>
      <c r="K282" s="1" t="s">
        <v>15</v>
      </c>
      <c r="L282" s="1">
        <v>6</v>
      </c>
      <c r="M282" s="1" t="s">
        <v>20</v>
      </c>
      <c r="N282" s="5">
        <f>IF(Tabulka1[[#This Row],[E-shop]]="ano",1,0)</f>
        <v>0</v>
      </c>
      <c r="O282" s="5">
        <f>IF(Tabulka1[[#This Row],[Reklamace]]="ano",1,0)</f>
        <v>0</v>
      </c>
    </row>
    <row r="283" spans="1:15" ht="15.75" customHeight="1" x14ac:dyDescent="0.3">
      <c r="A283" s="1">
        <v>121</v>
      </c>
      <c r="B283" s="2">
        <v>45898</v>
      </c>
      <c r="C283" s="1" t="s">
        <v>13</v>
      </c>
      <c r="D283" s="1" t="s">
        <v>47</v>
      </c>
      <c r="E283" s="1">
        <v>4</v>
      </c>
      <c r="F283" s="1">
        <v>25000</v>
      </c>
      <c r="G283" s="1">
        <v>100000</v>
      </c>
      <c r="H283" s="1">
        <v>16086</v>
      </c>
      <c r="I283" s="1" t="s">
        <v>15</v>
      </c>
      <c r="J283" s="1">
        <v>7</v>
      </c>
      <c r="K283" s="1" t="s">
        <v>16</v>
      </c>
      <c r="L283" s="1">
        <v>1</v>
      </c>
      <c r="M283" s="1" t="s">
        <v>17</v>
      </c>
      <c r="N283" s="5">
        <f>IF(Tabulka1[[#This Row],[E-shop]]="ano",1,0)</f>
        <v>0</v>
      </c>
      <c r="O283" s="5">
        <f>IF(Tabulka1[[#This Row],[Reklamace]]="ano",1,0)</f>
        <v>1</v>
      </c>
    </row>
    <row r="284" spans="1:15" ht="15.75" customHeight="1" x14ac:dyDescent="0.3">
      <c r="A284" s="1">
        <v>377</v>
      </c>
      <c r="B284" s="2">
        <v>45968</v>
      </c>
      <c r="C284" s="1" t="s">
        <v>18</v>
      </c>
      <c r="D284" s="1" t="s">
        <v>47</v>
      </c>
      <c r="E284" s="1">
        <v>4</v>
      </c>
      <c r="F284" s="1">
        <v>25000</v>
      </c>
      <c r="G284" s="1">
        <v>100000</v>
      </c>
      <c r="H284" s="1">
        <v>16896</v>
      </c>
      <c r="I284" s="1" t="s">
        <v>15</v>
      </c>
      <c r="J284" s="1">
        <v>7</v>
      </c>
      <c r="K284" s="1" t="s">
        <v>16</v>
      </c>
      <c r="L284" s="1">
        <v>2</v>
      </c>
      <c r="M284" s="1" t="s">
        <v>20</v>
      </c>
      <c r="N284" s="5">
        <f>IF(Tabulka1[[#This Row],[E-shop]]="ano",1,0)</f>
        <v>0</v>
      </c>
      <c r="O284" s="5">
        <f>IF(Tabulka1[[#This Row],[Reklamace]]="ano",1,0)</f>
        <v>1</v>
      </c>
    </row>
    <row r="285" spans="1:15" ht="15.75" customHeight="1" x14ac:dyDescent="0.3">
      <c r="A285" s="1">
        <v>464</v>
      </c>
      <c r="B285" s="2">
        <v>45518</v>
      </c>
      <c r="C285" s="1" t="s">
        <v>23</v>
      </c>
      <c r="D285" s="1" t="s">
        <v>44</v>
      </c>
      <c r="E285" s="1">
        <v>10</v>
      </c>
      <c r="F285" s="1">
        <v>10000</v>
      </c>
      <c r="G285" s="1">
        <v>100000</v>
      </c>
      <c r="H285" s="1">
        <v>20205</v>
      </c>
      <c r="I285" s="1" t="s">
        <v>15</v>
      </c>
      <c r="J285" s="1">
        <v>5</v>
      </c>
      <c r="K285" s="1" t="s">
        <v>16</v>
      </c>
      <c r="L285" s="1">
        <v>3</v>
      </c>
      <c r="M285" s="1" t="s">
        <v>20</v>
      </c>
      <c r="N285" s="5">
        <f>IF(Tabulka1[[#This Row],[E-shop]]="ano",1,0)</f>
        <v>0</v>
      </c>
      <c r="O285" s="5">
        <f>IF(Tabulka1[[#This Row],[Reklamace]]="ano",1,0)</f>
        <v>1</v>
      </c>
    </row>
    <row r="286" spans="1:15" ht="15.75" customHeight="1" x14ac:dyDescent="0.3">
      <c r="A286" s="1">
        <v>597</v>
      </c>
      <c r="B286" s="2">
        <v>45762</v>
      </c>
      <c r="C286" s="1" t="s">
        <v>31</v>
      </c>
      <c r="D286" s="1" t="s">
        <v>29</v>
      </c>
      <c r="E286" s="1">
        <v>5</v>
      </c>
      <c r="F286" s="1">
        <v>20000</v>
      </c>
      <c r="G286" s="1">
        <v>100000</v>
      </c>
      <c r="H286" s="1">
        <v>24663</v>
      </c>
      <c r="I286" s="1" t="s">
        <v>15</v>
      </c>
      <c r="J286" s="1">
        <v>5</v>
      </c>
      <c r="K286" s="1" t="s">
        <v>15</v>
      </c>
      <c r="L286" s="1">
        <v>3</v>
      </c>
      <c r="M286" s="1" t="s">
        <v>20</v>
      </c>
      <c r="N286" s="5">
        <f>IF(Tabulka1[[#This Row],[E-shop]]="ano",1,0)</f>
        <v>0</v>
      </c>
      <c r="O286" s="5">
        <f>IF(Tabulka1[[#This Row],[Reklamace]]="ano",1,0)</f>
        <v>0</v>
      </c>
    </row>
    <row r="287" spans="1:15" ht="15.75" customHeight="1" x14ac:dyDescent="0.3">
      <c r="A287" s="1">
        <v>713</v>
      </c>
      <c r="B287" s="2">
        <v>45511</v>
      </c>
      <c r="C287" s="1" t="s">
        <v>18</v>
      </c>
      <c r="D287" s="1" t="s">
        <v>29</v>
      </c>
      <c r="E287" s="1">
        <v>5</v>
      </c>
      <c r="F287" s="1">
        <v>20000</v>
      </c>
      <c r="G287" s="1">
        <v>100000</v>
      </c>
      <c r="H287" s="1">
        <v>20773</v>
      </c>
      <c r="I287" s="1" t="s">
        <v>16</v>
      </c>
      <c r="J287" s="1">
        <v>5</v>
      </c>
      <c r="K287" s="1" t="s">
        <v>15</v>
      </c>
      <c r="L287" s="1">
        <v>5</v>
      </c>
      <c r="M287" s="1" t="s">
        <v>20</v>
      </c>
      <c r="N287" s="5">
        <f>IF(Tabulka1[[#This Row],[E-shop]]="ano",1,0)</f>
        <v>1</v>
      </c>
      <c r="O287" s="5">
        <f>IF(Tabulka1[[#This Row],[Reklamace]]="ano",1,0)</f>
        <v>0</v>
      </c>
    </row>
    <row r="288" spans="1:15" ht="15.75" customHeight="1" x14ac:dyDescent="0.3">
      <c r="A288" s="1">
        <v>800</v>
      </c>
      <c r="B288" s="2">
        <v>45721</v>
      </c>
      <c r="C288" s="1" t="s">
        <v>23</v>
      </c>
      <c r="D288" s="1" t="s">
        <v>44</v>
      </c>
      <c r="E288" s="1">
        <v>10</v>
      </c>
      <c r="F288" s="1">
        <v>10000</v>
      </c>
      <c r="G288" s="1">
        <v>100000</v>
      </c>
      <c r="H288" s="1">
        <v>18515</v>
      </c>
      <c r="I288" s="1" t="s">
        <v>15</v>
      </c>
      <c r="J288" s="1">
        <v>7</v>
      </c>
      <c r="K288" s="1" t="s">
        <v>15</v>
      </c>
      <c r="L288" s="1">
        <v>3</v>
      </c>
      <c r="M288" s="1" t="s">
        <v>20</v>
      </c>
      <c r="N288" s="5">
        <f>IF(Tabulka1[[#This Row],[E-shop]]="ano",1,0)</f>
        <v>0</v>
      </c>
      <c r="O288" s="5">
        <f>IF(Tabulka1[[#This Row],[Reklamace]]="ano",1,0)</f>
        <v>0</v>
      </c>
    </row>
    <row r="289" spans="1:15" ht="15.75" customHeight="1" x14ac:dyDescent="0.3">
      <c r="A289" s="1">
        <v>978</v>
      </c>
      <c r="B289" s="2">
        <v>45971</v>
      </c>
      <c r="C289" s="1" t="s">
        <v>18</v>
      </c>
      <c r="D289" s="1" t="s">
        <v>44</v>
      </c>
      <c r="E289" s="1">
        <v>10</v>
      </c>
      <c r="F289" s="1">
        <v>10000</v>
      </c>
      <c r="G289" s="1">
        <v>100000</v>
      </c>
      <c r="H289" s="1">
        <v>27138</v>
      </c>
      <c r="I289" s="1" t="s">
        <v>15</v>
      </c>
      <c r="J289" s="1">
        <v>7</v>
      </c>
      <c r="K289" s="1" t="s">
        <v>16</v>
      </c>
      <c r="L289" s="1">
        <v>2</v>
      </c>
      <c r="M289" s="1" t="s">
        <v>20</v>
      </c>
      <c r="N289" s="5">
        <f>IF(Tabulka1[[#This Row],[E-shop]]="ano",1,0)</f>
        <v>0</v>
      </c>
      <c r="O289" s="5">
        <f>IF(Tabulka1[[#This Row],[Reklamace]]="ano",1,0)</f>
        <v>1</v>
      </c>
    </row>
    <row r="290" spans="1:15" ht="15.75" customHeight="1" x14ac:dyDescent="0.3">
      <c r="A290" s="1">
        <v>242</v>
      </c>
      <c r="B290" s="2">
        <v>45920</v>
      </c>
      <c r="C290" s="1" t="s">
        <v>31</v>
      </c>
      <c r="D290" s="1" t="s">
        <v>38</v>
      </c>
      <c r="E290" s="1">
        <v>11</v>
      </c>
      <c r="F290" s="1">
        <v>9000</v>
      </c>
      <c r="G290" s="1">
        <v>99000</v>
      </c>
      <c r="H290" s="1">
        <v>18221</v>
      </c>
      <c r="I290" s="1" t="s">
        <v>15</v>
      </c>
      <c r="J290" s="1">
        <v>6</v>
      </c>
      <c r="K290" s="1" t="s">
        <v>16</v>
      </c>
      <c r="L290" s="1">
        <v>4</v>
      </c>
      <c r="M290" s="1" t="s">
        <v>20</v>
      </c>
      <c r="N290" s="5">
        <f>IF(Tabulka1[[#This Row],[E-shop]]="ano",1,0)</f>
        <v>0</v>
      </c>
      <c r="O290" s="5">
        <f>IF(Tabulka1[[#This Row],[Reklamace]]="ano",1,0)</f>
        <v>1</v>
      </c>
    </row>
    <row r="291" spans="1:15" ht="15.75" customHeight="1" x14ac:dyDescent="0.3">
      <c r="A291" s="1">
        <v>431</v>
      </c>
      <c r="B291" s="2">
        <v>45878</v>
      </c>
      <c r="C291" s="1" t="s">
        <v>31</v>
      </c>
      <c r="D291" s="1" t="s">
        <v>19</v>
      </c>
      <c r="E291" s="1">
        <v>11</v>
      </c>
      <c r="F291" s="1">
        <v>9000</v>
      </c>
      <c r="G291" s="1">
        <v>99000</v>
      </c>
      <c r="H291" s="1">
        <v>25150</v>
      </c>
      <c r="I291" s="1" t="s">
        <v>16</v>
      </c>
      <c r="J291" s="1">
        <v>4</v>
      </c>
      <c r="K291" s="1" t="s">
        <v>15</v>
      </c>
      <c r="L291" s="1">
        <v>6</v>
      </c>
      <c r="M291" s="1" t="s">
        <v>20</v>
      </c>
      <c r="N291" s="5">
        <f>IF(Tabulka1[[#This Row],[E-shop]]="ano",1,0)</f>
        <v>1</v>
      </c>
      <c r="O291" s="5">
        <f>IF(Tabulka1[[#This Row],[Reklamace]]="ano",1,0)</f>
        <v>0</v>
      </c>
    </row>
    <row r="292" spans="1:15" ht="15.75" customHeight="1" x14ac:dyDescent="0.3">
      <c r="A292" s="1">
        <v>566</v>
      </c>
      <c r="B292" s="2">
        <v>45439</v>
      </c>
      <c r="C292" s="1" t="s">
        <v>21</v>
      </c>
      <c r="D292" s="1" t="s">
        <v>38</v>
      </c>
      <c r="E292" s="1">
        <v>11</v>
      </c>
      <c r="F292" s="1">
        <v>9000</v>
      </c>
      <c r="G292" s="1">
        <v>99000</v>
      </c>
      <c r="H292" s="1">
        <v>28859</v>
      </c>
      <c r="I292" s="1" t="s">
        <v>15</v>
      </c>
      <c r="J292" s="1">
        <v>3</v>
      </c>
      <c r="K292" s="1" t="s">
        <v>15</v>
      </c>
      <c r="L292" s="1">
        <v>5</v>
      </c>
      <c r="M292" s="1" t="s">
        <v>20</v>
      </c>
      <c r="N292" s="5">
        <f>IF(Tabulka1[[#This Row],[E-shop]]="ano",1,0)</f>
        <v>0</v>
      </c>
      <c r="O292" s="5">
        <f>IF(Tabulka1[[#This Row],[Reklamace]]="ano",1,0)</f>
        <v>0</v>
      </c>
    </row>
    <row r="293" spans="1:15" ht="15.75" customHeight="1" x14ac:dyDescent="0.3">
      <c r="A293" s="1">
        <v>731</v>
      </c>
      <c r="B293" s="2">
        <v>45734</v>
      </c>
      <c r="C293" s="1" t="s">
        <v>18</v>
      </c>
      <c r="D293" s="1" t="s">
        <v>43</v>
      </c>
      <c r="E293" s="1">
        <v>9</v>
      </c>
      <c r="F293" s="1">
        <v>11000</v>
      </c>
      <c r="G293" s="1">
        <v>99000</v>
      </c>
      <c r="H293" s="1">
        <v>18724</v>
      </c>
      <c r="I293" s="1" t="s">
        <v>16</v>
      </c>
      <c r="J293" s="1">
        <v>5</v>
      </c>
      <c r="K293" s="1" t="s">
        <v>15</v>
      </c>
      <c r="L293" s="1">
        <v>6</v>
      </c>
      <c r="M293" s="1" t="s">
        <v>20</v>
      </c>
      <c r="N293" s="5">
        <f>IF(Tabulka1[[#This Row],[E-shop]]="ano",1,0)</f>
        <v>1</v>
      </c>
      <c r="O293" s="5">
        <f>IF(Tabulka1[[#This Row],[Reklamace]]="ano",1,0)</f>
        <v>0</v>
      </c>
    </row>
    <row r="294" spans="1:15" ht="15.75" customHeight="1" x14ac:dyDescent="0.3">
      <c r="A294" s="1">
        <v>855</v>
      </c>
      <c r="B294" s="2">
        <v>45509</v>
      </c>
      <c r="C294" s="1" t="s">
        <v>13</v>
      </c>
      <c r="D294" s="1" t="s">
        <v>43</v>
      </c>
      <c r="E294" s="1">
        <v>9</v>
      </c>
      <c r="F294" s="1">
        <v>11000</v>
      </c>
      <c r="G294" s="1">
        <v>99000</v>
      </c>
      <c r="H294" s="1">
        <v>24802</v>
      </c>
      <c r="I294" s="1" t="s">
        <v>15</v>
      </c>
      <c r="J294" s="1">
        <v>4</v>
      </c>
      <c r="K294" s="1" t="s">
        <v>16</v>
      </c>
      <c r="L294" s="1">
        <v>4</v>
      </c>
      <c r="M294" s="1" t="s">
        <v>20</v>
      </c>
      <c r="N294" s="5">
        <f>IF(Tabulka1[[#This Row],[E-shop]]="ano",1,0)</f>
        <v>0</v>
      </c>
      <c r="O294" s="5">
        <f>IF(Tabulka1[[#This Row],[Reklamace]]="ano",1,0)</f>
        <v>1</v>
      </c>
    </row>
    <row r="295" spans="1:15" ht="15.75" customHeight="1" x14ac:dyDescent="0.3">
      <c r="A295" s="1">
        <v>888</v>
      </c>
      <c r="B295" s="2">
        <v>45623</v>
      </c>
      <c r="C295" s="1" t="s">
        <v>23</v>
      </c>
      <c r="D295" s="1" t="s">
        <v>38</v>
      </c>
      <c r="E295" s="1">
        <v>11</v>
      </c>
      <c r="F295" s="1">
        <v>9000</v>
      </c>
      <c r="G295" s="1">
        <v>99000</v>
      </c>
      <c r="H295" s="1">
        <v>21206</v>
      </c>
      <c r="I295" s="1" t="s">
        <v>16</v>
      </c>
      <c r="J295" s="1">
        <v>6</v>
      </c>
      <c r="K295" s="1" t="s">
        <v>16</v>
      </c>
      <c r="L295" s="1">
        <v>2</v>
      </c>
      <c r="M295" s="1" t="s">
        <v>20</v>
      </c>
      <c r="N295" s="5">
        <f>IF(Tabulka1[[#This Row],[E-shop]]="ano",1,0)</f>
        <v>1</v>
      </c>
      <c r="O295" s="5">
        <f>IF(Tabulka1[[#This Row],[Reklamace]]="ano",1,0)</f>
        <v>1</v>
      </c>
    </row>
    <row r="296" spans="1:15" ht="15.75" customHeight="1" x14ac:dyDescent="0.3">
      <c r="A296" s="1">
        <v>24</v>
      </c>
      <c r="B296" s="2">
        <v>45476</v>
      </c>
      <c r="C296" s="1" t="s">
        <v>36</v>
      </c>
      <c r="D296" s="1" t="s">
        <v>37</v>
      </c>
      <c r="E296" s="1">
        <v>14</v>
      </c>
      <c r="F296" s="1">
        <v>7000</v>
      </c>
      <c r="G296" s="1">
        <v>98000</v>
      </c>
      <c r="H296" s="1">
        <v>21863</v>
      </c>
      <c r="I296" s="1" t="s">
        <v>16</v>
      </c>
      <c r="J296" s="1">
        <v>6</v>
      </c>
      <c r="K296" s="1" t="s">
        <v>16</v>
      </c>
      <c r="L296" s="1">
        <v>4</v>
      </c>
      <c r="M296" s="1" t="s">
        <v>20</v>
      </c>
      <c r="N296" s="5">
        <f>IF(Tabulka1[[#This Row],[E-shop]]="ano",1,0)</f>
        <v>1</v>
      </c>
      <c r="O296" s="5">
        <f>IF(Tabulka1[[#This Row],[Reklamace]]="ano",1,0)</f>
        <v>1</v>
      </c>
    </row>
    <row r="297" spans="1:15" ht="15.75" customHeight="1" x14ac:dyDescent="0.3">
      <c r="A297" s="1">
        <v>72</v>
      </c>
      <c r="B297" s="2">
        <v>45555</v>
      </c>
      <c r="C297" s="1" t="s">
        <v>21</v>
      </c>
      <c r="D297" s="1" t="s">
        <v>37</v>
      </c>
      <c r="E297" s="1">
        <v>14</v>
      </c>
      <c r="F297" s="1">
        <v>7000</v>
      </c>
      <c r="G297" s="1">
        <v>98000</v>
      </c>
      <c r="H297" s="1">
        <v>20263</v>
      </c>
      <c r="I297" s="1" t="s">
        <v>16</v>
      </c>
      <c r="J297" s="1">
        <v>4</v>
      </c>
      <c r="K297" s="1" t="s">
        <v>16</v>
      </c>
      <c r="L297" s="1">
        <v>4</v>
      </c>
      <c r="M297" s="1" t="s">
        <v>20</v>
      </c>
      <c r="N297" s="5">
        <f>IF(Tabulka1[[#This Row],[E-shop]]="ano",1,0)</f>
        <v>1</v>
      </c>
      <c r="O297" s="5">
        <f>IF(Tabulka1[[#This Row],[Reklamace]]="ano",1,0)</f>
        <v>1</v>
      </c>
    </row>
    <row r="298" spans="1:15" ht="15.75" customHeight="1" x14ac:dyDescent="0.3">
      <c r="A298" s="1">
        <v>171</v>
      </c>
      <c r="B298" s="2">
        <v>45671</v>
      </c>
      <c r="C298" s="1" t="s">
        <v>23</v>
      </c>
      <c r="D298" s="1" t="s">
        <v>40</v>
      </c>
      <c r="E298" s="1">
        <v>7</v>
      </c>
      <c r="F298" s="1">
        <v>14000</v>
      </c>
      <c r="G298" s="1">
        <v>98000</v>
      </c>
      <c r="H298" s="1">
        <v>21633</v>
      </c>
      <c r="I298" s="1" t="s">
        <v>16</v>
      </c>
      <c r="J298" s="1">
        <v>5</v>
      </c>
      <c r="K298" s="1" t="s">
        <v>15</v>
      </c>
      <c r="L298" s="1">
        <v>3</v>
      </c>
      <c r="M298" s="1" t="s">
        <v>17</v>
      </c>
      <c r="N298" s="5">
        <f>IF(Tabulka1[[#This Row],[E-shop]]="ano",1,0)</f>
        <v>1</v>
      </c>
      <c r="O298" s="5">
        <f>IF(Tabulka1[[#This Row],[Reklamace]]="ano",1,0)</f>
        <v>0</v>
      </c>
    </row>
    <row r="299" spans="1:15" ht="15.75" customHeight="1" x14ac:dyDescent="0.3">
      <c r="A299" s="1">
        <v>396</v>
      </c>
      <c r="B299" s="2">
        <v>45358</v>
      </c>
      <c r="C299" s="1" t="s">
        <v>23</v>
      </c>
      <c r="D299" s="1" t="s">
        <v>40</v>
      </c>
      <c r="E299" s="1">
        <v>7</v>
      </c>
      <c r="F299" s="1">
        <v>14000</v>
      </c>
      <c r="G299" s="1">
        <v>98000</v>
      </c>
      <c r="H299" s="1">
        <v>21237</v>
      </c>
      <c r="I299" s="1" t="s">
        <v>15</v>
      </c>
      <c r="J299" s="1">
        <v>8</v>
      </c>
      <c r="K299" s="1" t="s">
        <v>16</v>
      </c>
      <c r="L299" s="1">
        <v>3</v>
      </c>
      <c r="M299" s="1" t="s">
        <v>20</v>
      </c>
      <c r="N299" s="5">
        <f>IF(Tabulka1[[#This Row],[E-shop]]="ano",1,0)</f>
        <v>0</v>
      </c>
      <c r="O299" s="5">
        <f>IF(Tabulka1[[#This Row],[Reklamace]]="ano",1,0)</f>
        <v>1</v>
      </c>
    </row>
    <row r="300" spans="1:15" ht="15.75" customHeight="1" x14ac:dyDescent="0.3">
      <c r="A300" s="1">
        <v>402</v>
      </c>
      <c r="B300" s="2">
        <v>45809</v>
      </c>
      <c r="C300" s="1" t="s">
        <v>25</v>
      </c>
      <c r="D300" s="1" t="s">
        <v>42</v>
      </c>
      <c r="E300" s="1">
        <v>14</v>
      </c>
      <c r="F300" s="1">
        <v>7000</v>
      </c>
      <c r="G300" s="1">
        <v>98000</v>
      </c>
      <c r="H300" s="1">
        <v>16269</v>
      </c>
      <c r="I300" s="1" t="s">
        <v>16</v>
      </c>
      <c r="J300" s="1">
        <v>8</v>
      </c>
      <c r="K300" s="1" t="s">
        <v>16</v>
      </c>
      <c r="L300" s="1">
        <v>1</v>
      </c>
      <c r="M300" s="1" t="s">
        <v>20</v>
      </c>
      <c r="N300" s="5">
        <f>IF(Tabulka1[[#This Row],[E-shop]]="ano",1,0)</f>
        <v>1</v>
      </c>
      <c r="O300" s="5">
        <f>IF(Tabulka1[[#This Row],[Reklamace]]="ano",1,0)</f>
        <v>1</v>
      </c>
    </row>
    <row r="301" spans="1:15" ht="15.75" customHeight="1" x14ac:dyDescent="0.3">
      <c r="A301" s="1">
        <v>458</v>
      </c>
      <c r="B301" s="2">
        <v>45512</v>
      </c>
      <c r="C301" s="1" t="s">
        <v>25</v>
      </c>
      <c r="D301" s="1" t="s">
        <v>42</v>
      </c>
      <c r="E301" s="1">
        <v>14</v>
      </c>
      <c r="F301" s="1">
        <v>7000</v>
      </c>
      <c r="G301" s="1">
        <v>98000</v>
      </c>
      <c r="H301" s="1">
        <v>22665</v>
      </c>
      <c r="I301" s="1" t="s">
        <v>16</v>
      </c>
      <c r="J301" s="1">
        <v>5</v>
      </c>
      <c r="K301" s="1" t="s">
        <v>15</v>
      </c>
      <c r="L301" s="1">
        <v>6</v>
      </c>
      <c r="M301" s="1" t="s">
        <v>20</v>
      </c>
      <c r="N301" s="5">
        <f>IF(Tabulka1[[#This Row],[E-shop]]="ano",1,0)</f>
        <v>1</v>
      </c>
      <c r="O301" s="5">
        <f>IF(Tabulka1[[#This Row],[Reklamace]]="ano",1,0)</f>
        <v>0</v>
      </c>
    </row>
    <row r="302" spans="1:15" ht="15.75" customHeight="1" x14ac:dyDescent="0.3">
      <c r="A302" s="1">
        <v>479</v>
      </c>
      <c r="B302" s="2">
        <v>45713</v>
      </c>
      <c r="C302" s="1" t="s">
        <v>13</v>
      </c>
      <c r="D302" s="1" t="s">
        <v>42</v>
      </c>
      <c r="E302" s="1">
        <v>14</v>
      </c>
      <c r="F302" s="1">
        <v>7000</v>
      </c>
      <c r="G302" s="1">
        <v>98000</v>
      </c>
      <c r="H302" s="1">
        <v>25537</v>
      </c>
      <c r="I302" s="1" t="s">
        <v>16</v>
      </c>
      <c r="J302" s="1">
        <v>8</v>
      </c>
      <c r="K302" s="1" t="s">
        <v>16</v>
      </c>
      <c r="L302" s="1">
        <v>1</v>
      </c>
      <c r="M302" s="1" t="s">
        <v>20</v>
      </c>
      <c r="N302" s="5">
        <f>IF(Tabulka1[[#This Row],[E-shop]]="ano",1,0)</f>
        <v>1</v>
      </c>
      <c r="O302" s="5">
        <f>IF(Tabulka1[[#This Row],[Reklamace]]="ano",1,0)</f>
        <v>1</v>
      </c>
    </row>
    <row r="303" spans="1:15" ht="15.75" customHeight="1" x14ac:dyDescent="0.3">
      <c r="A303" s="1">
        <v>906</v>
      </c>
      <c r="B303" s="2">
        <v>45388</v>
      </c>
      <c r="C303" s="1" t="s">
        <v>18</v>
      </c>
      <c r="D303" s="1" t="s">
        <v>24</v>
      </c>
      <c r="E303" s="1">
        <v>14</v>
      </c>
      <c r="F303" s="1">
        <v>7000</v>
      </c>
      <c r="G303" s="1">
        <v>98000</v>
      </c>
      <c r="H303" s="1">
        <v>18209</v>
      </c>
      <c r="I303" s="1" t="s">
        <v>15</v>
      </c>
      <c r="J303" s="1">
        <v>7</v>
      </c>
      <c r="K303" s="1" t="s">
        <v>15</v>
      </c>
      <c r="L303" s="1">
        <v>4</v>
      </c>
      <c r="M303" s="1" t="s">
        <v>20</v>
      </c>
      <c r="N303" s="5">
        <f>IF(Tabulka1[[#This Row],[E-shop]]="ano",1,0)</f>
        <v>0</v>
      </c>
      <c r="O303" s="5">
        <f>IF(Tabulka1[[#This Row],[Reklamace]]="ano",1,0)</f>
        <v>0</v>
      </c>
    </row>
    <row r="304" spans="1:15" ht="15.75" customHeight="1" x14ac:dyDescent="0.3">
      <c r="A304" s="1">
        <v>995</v>
      </c>
      <c r="B304" s="2">
        <v>45359</v>
      </c>
      <c r="C304" s="1" t="s">
        <v>18</v>
      </c>
      <c r="D304" s="1" t="s">
        <v>40</v>
      </c>
      <c r="E304" s="1">
        <v>7</v>
      </c>
      <c r="F304" s="1">
        <v>14000</v>
      </c>
      <c r="G304" s="1">
        <v>98000</v>
      </c>
      <c r="H304" s="1">
        <v>24083</v>
      </c>
      <c r="I304" s="1" t="s">
        <v>15</v>
      </c>
      <c r="J304" s="1">
        <v>2</v>
      </c>
      <c r="K304" s="1" t="s">
        <v>15</v>
      </c>
      <c r="L304" s="1">
        <v>7</v>
      </c>
      <c r="M304" s="1" t="s">
        <v>20</v>
      </c>
      <c r="N304" s="5">
        <f>IF(Tabulka1[[#This Row],[E-shop]]="ano",1,0)</f>
        <v>0</v>
      </c>
      <c r="O304" s="5">
        <f>IF(Tabulka1[[#This Row],[Reklamace]]="ano",1,0)</f>
        <v>0</v>
      </c>
    </row>
    <row r="305" spans="1:15" ht="15.75" customHeight="1" x14ac:dyDescent="0.3">
      <c r="A305" s="1">
        <v>73</v>
      </c>
      <c r="B305" s="2">
        <v>45302</v>
      </c>
      <c r="C305" s="1" t="s">
        <v>31</v>
      </c>
      <c r="D305" s="1" t="s">
        <v>30</v>
      </c>
      <c r="E305" s="1">
        <v>12</v>
      </c>
      <c r="F305" s="1">
        <v>8000</v>
      </c>
      <c r="G305" s="1">
        <v>96000</v>
      </c>
      <c r="H305" s="1">
        <v>26393</v>
      </c>
      <c r="I305" s="1" t="s">
        <v>16</v>
      </c>
      <c r="J305" s="1">
        <v>9</v>
      </c>
      <c r="K305" s="1" t="s">
        <v>16</v>
      </c>
      <c r="L305" s="1">
        <v>1</v>
      </c>
      <c r="M305" s="1" t="s">
        <v>20</v>
      </c>
      <c r="N305" s="5">
        <f>IF(Tabulka1[[#This Row],[E-shop]]="ano",1,0)</f>
        <v>1</v>
      </c>
      <c r="O305" s="5">
        <f>IF(Tabulka1[[#This Row],[Reklamace]]="ano",1,0)</f>
        <v>1</v>
      </c>
    </row>
    <row r="306" spans="1:15" ht="15.75" customHeight="1" x14ac:dyDescent="0.3">
      <c r="A306" s="1">
        <v>177</v>
      </c>
      <c r="B306" s="2">
        <v>45672</v>
      </c>
      <c r="C306" s="1" t="s">
        <v>25</v>
      </c>
      <c r="D306" s="1" t="s">
        <v>26</v>
      </c>
      <c r="E306" s="1">
        <v>8</v>
      </c>
      <c r="F306" s="1">
        <v>12000</v>
      </c>
      <c r="G306" s="1">
        <v>96000</v>
      </c>
      <c r="H306" s="1">
        <v>23830</v>
      </c>
      <c r="I306" s="1" t="s">
        <v>15</v>
      </c>
      <c r="J306" s="1">
        <v>2</v>
      </c>
      <c r="K306" s="1" t="s">
        <v>15</v>
      </c>
      <c r="L306" s="1">
        <v>9</v>
      </c>
      <c r="M306" s="1" t="s">
        <v>20</v>
      </c>
      <c r="N306" s="5">
        <f>IF(Tabulka1[[#This Row],[E-shop]]="ano",1,0)</f>
        <v>0</v>
      </c>
      <c r="O306" s="5">
        <f>IF(Tabulka1[[#This Row],[Reklamace]]="ano",1,0)</f>
        <v>0</v>
      </c>
    </row>
    <row r="307" spans="1:15" ht="15.75" customHeight="1" x14ac:dyDescent="0.3">
      <c r="A307" s="1">
        <v>268</v>
      </c>
      <c r="B307" s="2">
        <v>45978</v>
      </c>
      <c r="C307" s="1" t="s">
        <v>23</v>
      </c>
      <c r="D307" s="1" t="s">
        <v>30</v>
      </c>
      <c r="E307" s="1">
        <v>12</v>
      </c>
      <c r="F307" s="1">
        <v>8000</v>
      </c>
      <c r="G307" s="1">
        <v>96000</v>
      </c>
      <c r="H307" s="1">
        <v>21282</v>
      </c>
      <c r="I307" s="1" t="s">
        <v>15</v>
      </c>
      <c r="J307" s="1">
        <v>9</v>
      </c>
      <c r="K307" s="1" t="s">
        <v>16</v>
      </c>
      <c r="L307" s="1">
        <v>1</v>
      </c>
      <c r="M307" s="1" t="s">
        <v>20</v>
      </c>
      <c r="N307" s="5">
        <f>IF(Tabulka1[[#This Row],[E-shop]]="ano",1,0)</f>
        <v>0</v>
      </c>
      <c r="O307" s="5">
        <f>IF(Tabulka1[[#This Row],[Reklamace]]="ano",1,0)</f>
        <v>1</v>
      </c>
    </row>
    <row r="308" spans="1:15" ht="15.75" customHeight="1" x14ac:dyDescent="0.3">
      <c r="A308" s="1">
        <v>300</v>
      </c>
      <c r="B308" s="2">
        <v>45934</v>
      </c>
      <c r="C308" s="1" t="s">
        <v>23</v>
      </c>
      <c r="D308" s="1" t="s">
        <v>30</v>
      </c>
      <c r="E308" s="1">
        <v>12</v>
      </c>
      <c r="F308" s="1">
        <v>8000</v>
      </c>
      <c r="G308" s="1">
        <v>96000</v>
      </c>
      <c r="H308" s="1">
        <v>20432</v>
      </c>
      <c r="I308" s="1" t="s">
        <v>15</v>
      </c>
      <c r="J308" s="1">
        <v>8</v>
      </c>
      <c r="K308" s="1" t="s">
        <v>15</v>
      </c>
      <c r="L308" s="1">
        <v>2</v>
      </c>
      <c r="M308" s="1" t="s">
        <v>20</v>
      </c>
      <c r="N308" s="5">
        <f>IF(Tabulka1[[#This Row],[E-shop]]="ano",1,0)</f>
        <v>0</v>
      </c>
      <c r="O308" s="5">
        <f>IF(Tabulka1[[#This Row],[Reklamace]]="ano",1,0)</f>
        <v>0</v>
      </c>
    </row>
    <row r="309" spans="1:15" ht="15.75" customHeight="1" x14ac:dyDescent="0.3">
      <c r="A309" s="1">
        <v>387</v>
      </c>
      <c r="B309" s="2">
        <v>45776</v>
      </c>
      <c r="C309" s="1" t="s">
        <v>31</v>
      </c>
      <c r="D309" s="1" t="s">
        <v>35</v>
      </c>
      <c r="E309" s="1">
        <v>8</v>
      </c>
      <c r="F309" s="1">
        <v>12000</v>
      </c>
      <c r="G309" s="1">
        <v>96000</v>
      </c>
      <c r="H309" s="1">
        <v>26698</v>
      </c>
      <c r="I309" s="1" t="s">
        <v>15</v>
      </c>
      <c r="J309" s="1">
        <v>7</v>
      </c>
      <c r="K309" s="1" t="s">
        <v>16</v>
      </c>
      <c r="L309" s="1">
        <v>1</v>
      </c>
      <c r="M309" s="1" t="s">
        <v>20</v>
      </c>
      <c r="N309" s="5">
        <f>IF(Tabulka1[[#This Row],[E-shop]]="ano",1,0)</f>
        <v>0</v>
      </c>
      <c r="O309" s="5">
        <f>IF(Tabulka1[[#This Row],[Reklamace]]="ano",1,0)</f>
        <v>1</v>
      </c>
    </row>
    <row r="310" spans="1:15" ht="15.75" customHeight="1" x14ac:dyDescent="0.3">
      <c r="A310" s="1">
        <v>520</v>
      </c>
      <c r="B310" s="2">
        <v>45541</v>
      </c>
      <c r="C310" s="1" t="s">
        <v>23</v>
      </c>
      <c r="D310" s="1" t="s">
        <v>30</v>
      </c>
      <c r="E310" s="1">
        <v>12</v>
      </c>
      <c r="F310" s="1">
        <v>8000</v>
      </c>
      <c r="G310" s="1">
        <v>96000</v>
      </c>
      <c r="H310" s="1">
        <v>26512</v>
      </c>
      <c r="I310" s="1" t="s">
        <v>15</v>
      </c>
      <c r="J310" s="1">
        <v>7</v>
      </c>
      <c r="K310" s="1" t="s">
        <v>15</v>
      </c>
      <c r="L310" s="1">
        <v>2</v>
      </c>
      <c r="M310" s="1" t="s">
        <v>20</v>
      </c>
      <c r="N310" s="5">
        <f>IF(Tabulka1[[#This Row],[E-shop]]="ano",1,0)</f>
        <v>0</v>
      </c>
      <c r="O310" s="5">
        <f>IF(Tabulka1[[#This Row],[Reklamace]]="ano",1,0)</f>
        <v>0</v>
      </c>
    </row>
    <row r="311" spans="1:15" ht="15.75" customHeight="1" x14ac:dyDescent="0.3">
      <c r="A311" s="1">
        <v>700</v>
      </c>
      <c r="B311" s="2">
        <v>45854</v>
      </c>
      <c r="C311" s="1" t="s">
        <v>18</v>
      </c>
      <c r="D311" s="1" t="s">
        <v>35</v>
      </c>
      <c r="E311" s="1">
        <v>8</v>
      </c>
      <c r="F311" s="1">
        <v>12000</v>
      </c>
      <c r="G311" s="1">
        <v>96000</v>
      </c>
      <c r="H311" s="1">
        <v>26347</v>
      </c>
      <c r="I311" s="1" t="s">
        <v>16</v>
      </c>
      <c r="J311" s="1">
        <v>4</v>
      </c>
      <c r="K311" s="1" t="s">
        <v>15</v>
      </c>
      <c r="L311" s="1">
        <v>7</v>
      </c>
      <c r="M311" s="1" t="s">
        <v>17</v>
      </c>
      <c r="N311" s="5">
        <f>IF(Tabulka1[[#This Row],[E-shop]]="ano",1,0)</f>
        <v>1</v>
      </c>
      <c r="O311" s="5">
        <f>IF(Tabulka1[[#This Row],[Reklamace]]="ano",1,0)</f>
        <v>0</v>
      </c>
    </row>
    <row r="312" spans="1:15" ht="15.75" customHeight="1" x14ac:dyDescent="0.3">
      <c r="A312" s="1">
        <v>722</v>
      </c>
      <c r="B312" s="2">
        <v>45445</v>
      </c>
      <c r="C312" s="1" t="s">
        <v>31</v>
      </c>
      <c r="D312" s="1" t="s">
        <v>14</v>
      </c>
      <c r="E312" s="1">
        <v>8</v>
      </c>
      <c r="F312" s="1">
        <v>12000</v>
      </c>
      <c r="G312" s="1">
        <v>96000</v>
      </c>
      <c r="H312" s="1">
        <v>20468</v>
      </c>
      <c r="I312" s="1" t="s">
        <v>15</v>
      </c>
      <c r="J312" s="1">
        <v>4</v>
      </c>
      <c r="K312" s="1" t="s">
        <v>16</v>
      </c>
      <c r="L312" s="1">
        <v>5</v>
      </c>
      <c r="M312" s="1" t="s">
        <v>20</v>
      </c>
      <c r="N312" s="5">
        <f>IF(Tabulka1[[#This Row],[E-shop]]="ano",1,0)</f>
        <v>0</v>
      </c>
      <c r="O312" s="5">
        <f>IF(Tabulka1[[#This Row],[Reklamace]]="ano",1,0)</f>
        <v>1</v>
      </c>
    </row>
    <row r="313" spans="1:15" ht="15.75" customHeight="1" x14ac:dyDescent="0.3">
      <c r="A313" s="1">
        <v>752</v>
      </c>
      <c r="B313" s="2">
        <v>45685</v>
      </c>
      <c r="C313" s="1" t="s">
        <v>21</v>
      </c>
      <c r="D313" s="1" t="s">
        <v>14</v>
      </c>
      <c r="E313" s="1">
        <v>8</v>
      </c>
      <c r="F313" s="1">
        <v>12000</v>
      </c>
      <c r="G313" s="1">
        <v>96000</v>
      </c>
      <c r="H313" s="1">
        <v>24393</v>
      </c>
      <c r="I313" s="1" t="s">
        <v>16</v>
      </c>
      <c r="J313" s="1">
        <v>2</v>
      </c>
      <c r="K313" s="1" t="s">
        <v>15</v>
      </c>
      <c r="L313" s="1">
        <v>8</v>
      </c>
      <c r="M313" s="1" t="s">
        <v>20</v>
      </c>
      <c r="N313" s="5">
        <f>IF(Tabulka1[[#This Row],[E-shop]]="ano",1,0)</f>
        <v>1</v>
      </c>
      <c r="O313" s="5">
        <f>IF(Tabulka1[[#This Row],[Reklamace]]="ano",1,0)</f>
        <v>0</v>
      </c>
    </row>
    <row r="314" spans="1:15" ht="15.75" customHeight="1" x14ac:dyDescent="0.3">
      <c r="A314" s="1">
        <v>931</v>
      </c>
      <c r="B314" s="2">
        <v>45293</v>
      </c>
      <c r="C314" s="1" t="s">
        <v>31</v>
      </c>
      <c r="D314" s="1" t="s">
        <v>14</v>
      </c>
      <c r="E314" s="1">
        <v>8</v>
      </c>
      <c r="F314" s="1">
        <v>12000</v>
      </c>
      <c r="G314" s="1">
        <v>96000</v>
      </c>
      <c r="H314" s="1">
        <v>14790</v>
      </c>
      <c r="I314" s="1" t="s">
        <v>15</v>
      </c>
      <c r="J314" s="1">
        <v>2</v>
      </c>
      <c r="K314" s="1" t="s">
        <v>15</v>
      </c>
      <c r="L314" s="1">
        <v>7</v>
      </c>
      <c r="M314" s="1" t="s">
        <v>20</v>
      </c>
      <c r="N314" s="5">
        <f>IF(Tabulka1[[#This Row],[E-shop]]="ano",1,0)</f>
        <v>0</v>
      </c>
      <c r="O314" s="5">
        <f>IF(Tabulka1[[#This Row],[Reklamace]]="ano",1,0)</f>
        <v>0</v>
      </c>
    </row>
    <row r="315" spans="1:15" ht="15.75" customHeight="1" x14ac:dyDescent="0.3">
      <c r="A315" s="1">
        <v>9</v>
      </c>
      <c r="B315" s="2">
        <v>45697</v>
      </c>
      <c r="C315" s="1" t="s">
        <v>25</v>
      </c>
      <c r="D315" s="1" t="s">
        <v>24</v>
      </c>
      <c r="E315" s="1">
        <v>13</v>
      </c>
      <c r="F315" s="1">
        <v>7000</v>
      </c>
      <c r="G315" s="1">
        <v>91000</v>
      </c>
      <c r="H315" s="1">
        <v>26680</v>
      </c>
      <c r="I315" s="1" t="s">
        <v>15</v>
      </c>
      <c r="J315" s="1">
        <v>5</v>
      </c>
      <c r="K315" s="1" t="s">
        <v>15</v>
      </c>
      <c r="L315" s="1">
        <v>6</v>
      </c>
      <c r="M315" s="1" t="s">
        <v>20</v>
      </c>
      <c r="N315" s="5">
        <f>IF(Tabulka1[[#This Row],[E-shop]]="ano",1,0)</f>
        <v>0</v>
      </c>
      <c r="O315" s="5">
        <f>IF(Tabulka1[[#This Row],[Reklamace]]="ano",1,0)</f>
        <v>0</v>
      </c>
    </row>
    <row r="316" spans="1:15" ht="15.75" customHeight="1" x14ac:dyDescent="0.3">
      <c r="A316" s="1">
        <v>163</v>
      </c>
      <c r="B316" s="2">
        <v>45419</v>
      </c>
      <c r="C316" s="1" t="s">
        <v>31</v>
      </c>
      <c r="D316" s="1" t="s">
        <v>24</v>
      </c>
      <c r="E316" s="1">
        <v>13</v>
      </c>
      <c r="F316" s="1">
        <v>7000</v>
      </c>
      <c r="G316" s="1">
        <v>91000</v>
      </c>
      <c r="H316" s="1">
        <v>23674</v>
      </c>
      <c r="I316" s="1" t="s">
        <v>16</v>
      </c>
      <c r="J316" s="1">
        <v>8</v>
      </c>
      <c r="K316" s="1" t="s">
        <v>16</v>
      </c>
      <c r="L316" s="1">
        <v>2</v>
      </c>
      <c r="M316" s="1" t="s">
        <v>20</v>
      </c>
      <c r="N316" s="5">
        <f>IF(Tabulka1[[#This Row],[E-shop]]="ano",1,0)</f>
        <v>1</v>
      </c>
      <c r="O316" s="5">
        <f>IF(Tabulka1[[#This Row],[Reklamace]]="ano",1,0)</f>
        <v>1</v>
      </c>
    </row>
    <row r="317" spans="1:15" ht="15.75" customHeight="1" x14ac:dyDescent="0.3">
      <c r="A317" s="1">
        <v>271</v>
      </c>
      <c r="B317" s="2">
        <v>45396</v>
      </c>
      <c r="C317" s="1" t="s">
        <v>23</v>
      </c>
      <c r="D317" s="1" t="s">
        <v>42</v>
      </c>
      <c r="E317" s="1">
        <v>13</v>
      </c>
      <c r="F317" s="1">
        <v>7000</v>
      </c>
      <c r="G317" s="1">
        <v>91000</v>
      </c>
      <c r="H317" s="1">
        <v>25573</v>
      </c>
      <c r="I317" s="1" t="s">
        <v>15</v>
      </c>
      <c r="J317" s="1">
        <v>8</v>
      </c>
      <c r="K317" s="1" t="s">
        <v>15</v>
      </c>
      <c r="L317" s="1">
        <v>1</v>
      </c>
      <c r="M317" s="1" t="s">
        <v>20</v>
      </c>
      <c r="N317" s="5">
        <f>IF(Tabulka1[[#This Row],[E-shop]]="ano",1,0)</f>
        <v>0</v>
      </c>
      <c r="O317" s="5">
        <f>IF(Tabulka1[[#This Row],[Reklamace]]="ano",1,0)</f>
        <v>0</v>
      </c>
    </row>
    <row r="318" spans="1:15" ht="15.75" customHeight="1" x14ac:dyDescent="0.3">
      <c r="A318" s="1">
        <v>280</v>
      </c>
      <c r="B318" s="2">
        <v>45525</v>
      </c>
      <c r="C318" s="1" t="s">
        <v>25</v>
      </c>
      <c r="D318" s="1" t="s">
        <v>24</v>
      </c>
      <c r="E318" s="1">
        <v>13</v>
      </c>
      <c r="F318" s="1">
        <v>7000</v>
      </c>
      <c r="G318" s="1">
        <v>91000</v>
      </c>
      <c r="H318" s="1">
        <v>23056</v>
      </c>
      <c r="I318" s="1" t="s">
        <v>15</v>
      </c>
      <c r="J318" s="1">
        <v>5</v>
      </c>
      <c r="K318" s="1" t="s">
        <v>15</v>
      </c>
      <c r="L318" s="1">
        <v>4</v>
      </c>
      <c r="M318" s="1" t="s">
        <v>20</v>
      </c>
      <c r="N318" s="5">
        <f>IF(Tabulka1[[#This Row],[E-shop]]="ano",1,0)</f>
        <v>0</v>
      </c>
      <c r="O318" s="5">
        <f>IF(Tabulka1[[#This Row],[Reklamace]]="ano",1,0)</f>
        <v>0</v>
      </c>
    </row>
    <row r="319" spans="1:15" ht="15.75" customHeight="1" x14ac:dyDescent="0.3">
      <c r="A319" s="1">
        <v>428</v>
      </c>
      <c r="B319" s="2">
        <v>45575</v>
      </c>
      <c r="C319" s="1" t="s">
        <v>31</v>
      </c>
      <c r="D319" s="1" t="s">
        <v>24</v>
      </c>
      <c r="E319" s="1">
        <v>13</v>
      </c>
      <c r="F319" s="1">
        <v>7000</v>
      </c>
      <c r="G319" s="1">
        <v>91000</v>
      </c>
      <c r="H319" s="1">
        <v>21451</v>
      </c>
      <c r="I319" s="1" t="s">
        <v>15</v>
      </c>
      <c r="J319" s="1">
        <v>9</v>
      </c>
      <c r="K319" s="1" t="s">
        <v>16</v>
      </c>
      <c r="L319" s="1">
        <v>1</v>
      </c>
      <c r="M319" s="1" t="s">
        <v>17</v>
      </c>
      <c r="N319" s="5">
        <f>IF(Tabulka1[[#This Row],[E-shop]]="ano",1,0)</f>
        <v>0</v>
      </c>
      <c r="O319" s="5">
        <f>IF(Tabulka1[[#This Row],[Reklamace]]="ano",1,0)</f>
        <v>1</v>
      </c>
    </row>
    <row r="320" spans="1:15" ht="15.75" customHeight="1" x14ac:dyDescent="0.3">
      <c r="A320" s="1">
        <v>652</v>
      </c>
      <c r="B320" s="2">
        <v>45602</v>
      </c>
      <c r="C320" s="1" t="s">
        <v>36</v>
      </c>
      <c r="D320" s="1" t="s">
        <v>37</v>
      </c>
      <c r="E320" s="1">
        <v>13</v>
      </c>
      <c r="F320" s="1">
        <v>7000</v>
      </c>
      <c r="G320" s="1">
        <v>91000</v>
      </c>
      <c r="H320" s="1">
        <v>26750</v>
      </c>
      <c r="I320" s="1" t="s">
        <v>15</v>
      </c>
      <c r="J320" s="1">
        <v>7</v>
      </c>
      <c r="K320" s="1" t="s">
        <v>16</v>
      </c>
      <c r="L320" s="1">
        <v>2</v>
      </c>
      <c r="M320" s="1" t="s">
        <v>20</v>
      </c>
      <c r="N320" s="5">
        <f>IF(Tabulka1[[#This Row],[E-shop]]="ano",1,0)</f>
        <v>0</v>
      </c>
      <c r="O320" s="5">
        <f>IF(Tabulka1[[#This Row],[Reklamace]]="ano",1,0)</f>
        <v>1</v>
      </c>
    </row>
    <row r="321" spans="1:15" ht="15.75" customHeight="1" x14ac:dyDescent="0.3">
      <c r="A321" s="1">
        <v>708</v>
      </c>
      <c r="B321" s="2">
        <v>45685</v>
      </c>
      <c r="C321" s="1" t="s">
        <v>25</v>
      </c>
      <c r="D321" s="1" t="s">
        <v>24</v>
      </c>
      <c r="E321" s="1">
        <v>13</v>
      </c>
      <c r="F321" s="1">
        <v>7000</v>
      </c>
      <c r="G321" s="1">
        <v>91000</v>
      </c>
      <c r="H321" s="1">
        <v>18166</v>
      </c>
      <c r="I321" s="1" t="s">
        <v>15</v>
      </c>
      <c r="J321" s="1">
        <v>3</v>
      </c>
      <c r="K321" s="1" t="s">
        <v>15</v>
      </c>
      <c r="L321" s="1">
        <v>5</v>
      </c>
      <c r="M321" s="1" t="s">
        <v>20</v>
      </c>
      <c r="N321" s="5">
        <f>IF(Tabulka1[[#This Row],[E-shop]]="ano",1,0)</f>
        <v>0</v>
      </c>
      <c r="O321" s="5">
        <f>IF(Tabulka1[[#This Row],[Reklamace]]="ano",1,0)</f>
        <v>0</v>
      </c>
    </row>
    <row r="322" spans="1:15" ht="15.75" customHeight="1" x14ac:dyDescent="0.3">
      <c r="A322" s="1">
        <v>738</v>
      </c>
      <c r="B322" s="2">
        <v>45680</v>
      </c>
      <c r="C322" s="1" t="s">
        <v>21</v>
      </c>
      <c r="D322" s="1" t="s">
        <v>37</v>
      </c>
      <c r="E322" s="1">
        <v>13</v>
      </c>
      <c r="F322" s="1">
        <v>7000</v>
      </c>
      <c r="G322" s="1">
        <v>91000</v>
      </c>
      <c r="H322" s="1">
        <v>25370</v>
      </c>
      <c r="I322" s="1" t="s">
        <v>16</v>
      </c>
      <c r="J322" s="1">
        <v>6</v>
      </c>
      <c r="K322" s="1" t="s">
        <v>16</v>
      </c>
      <c r="L322" s="1">
        <v>3</v>
      </c>
      <c r="M322" s="1" t="s">
        <v>20</v>
      </c>
      <c r="N322" s="5">
        <f>IF(Tabulka1[[#This Row],[E-shop]]="ano",1,0)</f>
        <v>1</v>
      </c>
      <c r="O322" s="5">
        <f>IF(Tabulka1[[#This Row],[Reklamace]]="ano",1,0)</f>
        <v>1</v>
      </c>
    </row>
    <row r="323" spans="1:15" ht="15.75" customHeight="1" x14ac:dyDescent="0.3">
      <c r="A323" s="1">
        <v>762</v>
      </c>
      <c r="B323" s="2">
        <v>45332</v>
      </c>
      <c r="C323" s="1" t="s">
        <v>31</v>
      </c>
      <c r="D323" s="1" t="s">
        <v>37</v>
      </c>
      <c r="E323" s="1">
        <v>13</v>
      </c>
      <c r="F323" s="1">
        <v>7000</v>
      </c>
      <c r="G323" s="1">
        <v>91000</v>
      </c>
      <c r="H323" s="1">
        <v>15347</v>
      </c>
      <c r="I323" s="1" t="s">
        <v>15</v>
      </c>
      <c r="J323" s="1">
        <v>7</v>
      </c>
      <c r="K323" s="1" t="s">
        <v>16</v>
      </c>
      <c r="L323" s="1">
        <v>1</v>
      </c>
      <c r="M323" s="1" t="s">
        <v>20</v>
      </c>
      <c r="N323" s="5">
        <f>IF(Tabulka1[[#This Row],[E-shop]]="ano",1,0)</f>
        <v>0</v>
      </c>
      <c r="O323" s="5">
        <f>IF(Tabulka1[[#This Row],[Reklamace]]="ano",1,0)</f>
        <v>1</v>
      </c>
    </row>
    <row r="324" spans="1:15" ht="15.75" customHeight="1" x14ac:dyDescent="0.3">
      <c r="A324" s="1">
        <v>765</v>
      </c>
      <c r="B324" s="2">
        <v>45908</v>
      </c>
      <c r="C324" s="1" t="s">
        <v>23</v>
      </c>
      <c r="D324" s="1" t="s">
        <v>24</v>
      </c>
      <c r="E324" s="1">
        <v>13</v>
      </c>
      <c r="F324" s="1">
        <v>7000</v>
      </c>
      <c r="G324" s="1">
        <v>91000</v>
      </c>
      <c r="H324" s="1">
        <v>17574</v>
      </c>
      <c r="I324" s="1" t="s">
        <v>15</v>
      </c>
      <c r="J324" s="1">
        <v>5</v>
      </c>
      <c r="K324" s="1" t="s">
        <v>16</v>
      </c>
      <c r="L324" s="1">
        <v>5</v>
      </c>
      <c r="M324" s="1" t="s">
        <v>17</v>
      </c>
      <c r="N324" s="5">
        <f>IF(Tabulka1[[#This Row],[E-shop]]="ano",1,0)</f>
        <v>0</v>
      </c>
      <c r="O324" s="5">
        <f>IF(Tabulka1[[#This Row],[Reklamace]]="ano",1,0)</f>
        <v>1</v>
      </c>
    </row>
    <row r="325" spans="1:15" ht="15.75" customHeight="1" x14ac:dyDescent="0.3">
      <c r="A325" s="1">
        <v>98</v>
      </c>
      <c r="B325" s="2">
        <v>45310</v>
      </c>
      <c r="C325" s="1" t="s">
        <v>21</v>
      </c>
      <c r="D325" s="1" t="s">
        <v>32</v>
      </c>
      <c r="E325" s="1">
        <v>9</v>
      </c>
      <c r="F325" s="1">
        <v>10000</v>
      </c>
      <c r="G325" s="1">
        <v>90000</v>
      </c>
      <c r="H325" s="1">
        <v>25615</v>
      </c>
      <c r="I325" s="1" t="s">
        <v>15</v>
      </c>
      <c r="J325" s="1">
        <v>5</v>
      </c>
      <c r="K325" s="1" t="s">
        <v>15</v>
      </c>
      <c r="L325" s="1">
        <v>6</v>
      </c>
      <c r="M325" s="1" t="s">
        <v>20</v>
      </c>
      <c r="N325" s="5">
        <f>IF(Tabulka1[[#This Row],[E-shop]]="ano",1,0)</f>
        <v>0</v>
      </c>
      <c r="O325" s="5">
        <f>IF(Tabulka1[[#This Row],[Reklamace]]="ano",1,0)</f>
        <v>0</v>
      </c>
    </row>
    <row r="326" spans="1:15" ht="15.75" customHeight="1" x14ac:dyDescent="0.3">
      <c r="A326" s="1">
        <v>120</v>
      </c>
      <c r="B326" s="2">
        <v>45642</v>
      </c>
      <c r="C326" s="1" t="s">
        <v>21</v>
      </c>
      <c r="D326" s="1" t="s">
        <v>22</v>
      </c>
      <c r="E326" s="1">
        <v>6</v>
      </c>
      <c r="F326" s="1">
        <v>15000</v>
      </c>
      <c r="G326" s="1">
        <v>90000</v>
      </c>
      <c r="H326" s="1">
        <v>19759</v>
      </c>
      <c r="I326" s="1" t="s">
        <v>15</v>
      </c>
      <c r="J326" s="1">
        <v>3</v>
      </c>
      <c r="K326" s="1" t="s">
        <v>15</v>
      </c>
      <c r="L326" s="1">
        <v>8</v>
      </c>
      <c r="M326" s="1" t="s">
        <v>20</v>
      </c>
      <c r="N326" s="5">
        <f>IF(Tabulka1[[#This Row],[E-shop]]="ano",1,0)</f>
        <v>0</v>
      </c>
      <c r="O326" s="5">
        <f>IF(Tabulka1[[#This Row],[Reklamace]]="ano",1,0)</f>
        <v>0</v>
      </c>
    </row>
    <row r="327" spans="1:15" ht="15.75" customHeight="1" x14ac:dyDescent="0.3">
      <c r="A327" s="1">
        <v>127</v>
      </c>
      <c r="B327" s="2">
        <v>45827</v>
      </c>
      <c r="C327" s="1" t="s">
        <v>36</v>
      </c>
      <c r="D327" s="1" t="s">
        <v>38</v>
      </c>
      <c r="E327" s="1">
        <v>10</v>
      </c>
      <c r="F327" s="1">
        <v>9000</v>
      </c>
      <c r="G327" s="1">
        <v>90000</v>
      </c>
      <c r="H327" s="1">
        <v>18532</v>
      </c>
      <c r="I327" s="1" t="s">
        <v>15</v>
      </c>
      <c r="J327" s="1">
        <v>9</v>
      </c>
      <c r="K327" s="1" t="s">
        <v>16</v>
      </c>
      <c r="L327" s="1">
        <v>1</v>
      </c>
      <c r="M327" s="1" t="s">
        <v>20</v>
      </c>
      <c r="N327" s="5">
        <f>IF(Tabulka1[[#This Row],[E-shop]]="ano",1,0)</f>
        <v>0</v>
      </c>
      <c r="O327" s="5">
        <f>IF(Tabulka1[[#This Row],[Reklamace]]="ano",1,0)</f>
        <v>1</v>
      </c>
    </row>
    <row r="328" spans="1:15" ht="15.75" customHeight="1" x14ac:dyDescent="0.3">
      <c r="A328" s="1">
        <v>182</v>
      </c>
      <c r="B328" s="2">
        <v>45838</v>
      </c>
      <c r="C328" s="1" t="s">
        <v>31</v>
      </c>
      <c r="D328" s="1" t="s">
        <v>19</v>
      </c>
      <c r="E328" s="1">
        <v>10</v>
      </c>
      <c r="F328" s="1">
        <v>9000</v>
      </c>
      <c r="G328" s="1">
        <v>90000</v>
      </c>
      <c r="H328" s="1">
        <v>17526</v>
      </c>
      <c r="I328" s="1" t="s">
        <v>15</v>
      </c>
      <c r="J328" s="1">
        <v>3</v>
      </c>
      <c r="K328" s="1" t="s">
        <v>15</v>
      </c>
      <c r="L328" s="1">
        <v>8</v>
      </c>
      <c r="M328" s="1" t="s">
        <v>20</v>
      </c>
      <c r="N328" s="5">
        <f>IF(Tabulka1[[#This Row],[E-shop]]="ano",1,0)</f>
        <v>0</v>
      </c>
      <c r="O328" s="5">
        <f>IF(Tabulka1[[#This Row],[Reklamace]]="ano",1,0)</f>
        <v>0</v>
      </c>
    </row>
    <row r="329" spans="1:15" ht="15.75" customHeight="1" x14ac:dyDescent="0.3">
      <c r="A329" s="1">
        <v>253</v>
      </c>
      <c r="B329" s="2">
        <v>45582</v>
      </c>
      <c r="C329" s="1" t="s">
        <v>18</v>
      </c>
      <c r="D329" s="1" t="s">
        <v>44</v>
      </c>
      <c r="E329" s="1">
        <v>9</v>
      </c>
      <c r="F329" s="1">
        <v>10000</v>
      </c>
      <c r="G329" s="1">
        <v>90000</v>
      </c>
      <c r="H329" s="1">
        <v>25515</v>
      </c>
      <c r="I329" s="1" t="s">
        <v>16</v>
      </c>
      <c r="J329" s="1">
        <v>6</v>
      </c>
      <c r="K329" s="1" t="s">
        <v>16</v>
      </c>
      <c r="L329" s="1">
        <v>3</v>
      </c>
      <c r="M329" s="1" t="s">
        <v>20</v>
      </c>
      <c r="N329" s="5">
        <f>IF(Tabulka1[[#This Row],[E-shop]]="ano",1,0)</f>
        <v>1</v>
      </c>
      <c r="O329" s="5">
        <f>IF(Tabulka1[[#This Row],[Reklamace]]="ano",1,0)</f>
        <v>1</v>
      </c>
    </row>
    <row r="330" spans="1:15" ht="15.75" customHeight="1" x14ac:dyDescent="0.3">
      <c r="A330" s="1">
        <v>305</v>
      </c>
      <c r="B330" s="2">
        <v>45696</v>
      </c>
      <c r="C330" s="1" t="s">
        <v>18</v>
      </c>
      <c r="D330" s="1" t="s">
        <v>32</v>
      </c>
      <c r="E330" s="1">
        <v>9</v>
      </c>
      <c r="F330" s="1">
        <v>10000</v>
      </c>
      <c r="G330" s="1">
        <v>90000</v>
      </c>
      <c r="H330" s="1">
        <v>22770</v>
      </c>
      <c r="I330" s="1" t="s">
        <v>16</v>
      </c>
      <c r="J330" s="1">
        <v>6</v>
      </c>
      <c r="K330" s="1" t="s">
        <v>16</v>
      </c>
      <c r="L330" s="1">
        <v>4</v>
      </c>
      <c r="M330" s="1" t="s">
        <v>20</v>
      </c>
      <c r="N330" s="5">
        <f>IF(Tabulka1[[#This Row],[E-shop]]="ano",1,0)</f>
        <v>1</v>
      </c>
      <c r="O330" s="5">
        <f>IF(Tabulka1[[#This Row],[Reklamace]]="ano",1,0)</f>
        <v>1</v>
      </c>
    </row>
    <row r="331" spans="1:15" ht="15.75" customHeight="1" x14ac:dyDescent="0.3">
      <c r="A331" s="1">
        <v>339</v>
      </c>
      <c r="B331" s="2">
        <v>45723</v>
      </c>
      <c r="C331" s="1" t="s">
        <v>25</v>
      </c>
      <c r="D331" s="1" t="s">
        <v>19</v>
      </c>
      <c r="E331" s="1">
        <v>10</v>
      </c>
      <c r="F331" s="1">
        <v>9000</v>
      </c>
      <c r="G331" s="1">
        <v>90000</v>
      </c>
      <c r="H331" s="1">
        <v>19256</v>
      </c>
      <c r="I331" s="1" t="s">
        <v>15</v>
      </c>
      <c r="J331" s="1">
        <v>8</v>
      </c>
      <c r="K331" s="1" t="s">
        <v>16</v>
      </c>
      <c r="L331" s="1">
        <v>1</v>
      </c>
      <c r="M331" s="1" t="s">
        <v>20</v>
      </c>
      <c r="N331" s="5">
        <f>IF(Tabulka1[[#This Row],[E-shop]]="ano",1,0)</f>
        <v>0</v>
      </c>
      <c r="O331" s="5">
        <f>IF(Tabulka1[[#This Row],[Reklamace]]="ano",1,0)</f>
        <v>1</v>
      </c>
    </row>
    <row r="332" spans="1:15" ht="15.75" customHeight="1" x14ac:dyDescent="0.3">
      <c r="A332" s="1">
        <v>583</v>
      </c>
      <c r="B332" s="2">
        <v>45893</v>
      </c>
      <c r="C332" s="1" t="s">
        <v>21</v>
      </c>
      <c r="D332" s="1" t="s">
        <v>28</v>
      </c>
      <c r="E332" s="1">
        <v>5</v>
      </c>
      <c r="F332" s="1">
        <v>18000</v>
      </c>
      <c r="G332" s="1">
        <v>90000</v>
      </c>
      <c r="H332" s="1">
        <v>21960</v>
      </c>
      <c r="I332" s="1" t="s">
        <v>16</v>
      </c>
      <c r="J332" s="1">
        <v>3</v>
      </c>
      <c r="K332" s="1" t="s">
        <v>15</v>
      </c>
      <c r="L332" s="1">
        <v>8</v>
      </c>
      <c r="M332" s="1" t="s">
        <v>20</v>
      </c>
      <c r="N332" s="5">
        <f>IF(Tabulka1[[#This Row],[E-shop]]="ano",1,0)</f>
        <v>1</v>
      </c>
      <c r="O332" s="5">
        <f>IF(Tabulka1[[#This Row],[Reklamace]]="ano",1,0)</f>
        <v>0</v>
      </c>
    </row>
    <row r="333" spans="1:15" ht="15.75" customHeight="1" x14ac:dyDescent="0.3">
      <c r="A333" s="1">
        <v>589</v>
      </c>
      <c r="B333" s="2">
        <v>45782</v>
      </c>
      <c r="C333" s="1" t="s">
        <v>25</v>
      </c>
      <c r="D333" s="1" t="s">
        <v>44</v>
      </c>
      <c r="E333" s="1">
        <v>9</v>
      </c>
      <c r="F333" s="1">
        <v>10000</v>
      </c>
      <c r="G333" s="1">
        <v>90000</v>
      </c>
      <c r="H333" s="1">
        <v>21119</v>
      </c>
      <c r="I333" s="1" t="s">
        <v>16</v>
      </c>
      <c r="J333" s="1">
        <v>2</v>
      </c>
      <c r="K333" s="1" t="s">
        <v>15</v>
      </c>
      <c r="L333" s="1">
        <v>8</v>
      </c>
      <c r="M333" s="1" t="s">
        <v>20</v>
      </c>
      <c r="N333" s="5">
        <f>IF(Tabulka1[[#This Row],[E-shop]]="ano",1,0)</f>
        <v>1</v>
      </c>
      <c r="O333" s="5">
        <f>IF(Tabulka1[[#This Row],[Reklamace]]="ano",1,0)</f>
        <v>0</v>
      </c>
    </row>
    <row r="334" spans="1:15" ht="15.75" customHeight="1" x14ac:dyDescent="0.3">
      <c r="A334" s="1">
        <v>593</v>
      </c>
      <c r="B334" s="2">
        <v>45627</v>
      </c>
      <c r="C334" s="1" t="s">
        <v>23</v>
      </c>
      <c r="D334" s="1" t="s">
        <v>19</v>
      </c>
      <c r="E334" s="1">
        <v>10</v>
      </c>
      <c r="F334" s="1">
        <v>9000</v>
      </c>
      <c r="G334" s="1">
        <v>90000</v>
      </c>
      <c r="H334" s="1">
        <v>15659</v>
      </c>
      <c r="I334" s="1" t="s">
        <v>16</v>
      </c>
      <c r="J334" s="1">
        <v>3</v>
      </c>
      <c r="K334" s="1" t="s">
        <v>15</v>
      </c>
      <c r="L334" s="1">
        <v>7</v>
      </c>
      <c r="M334" s="1" t="s">
        <v>17</v>
      </c>
      <c r="N334" s="5">
        <f>IF(Tabulka1[[#This Row],[E-shop]]="ano",1,0)</f>
        <v>1</v>
      </c>
      <c r="O334" s="5">
        <f>IF(Tabulka1[[#This Row],[Reklamace]]="ano",1,0)</f>
        <v>0</v>
      </c>
    </row>
    <row r="335" spans="1:15" ht="15.75" customHeight="1" x14ac:dyDescent="0.3">
      <c r="A335" s="1">
        <v>823</v>
      </c>
      <c r="B335" s="2">
        <v>45592</v>
      </c>
      <c r="C335" s="1" t="s">
        <v>36</v>
      </c>
      <c r="D335" s="1" t="s">
        <v>38</v>
      </c>
      <c r="E335" s="1">
        <v>10</v>
      </c>
      <c r="F335" s="1">
        <v>9000</v>
      </c>
      <c r="G335" s="1">
        <v>90000</v>
      </c>
      <c r="H335" s="1">
        <v>24079</v>
      </c>
      <c r="I335" s="1" t="s">
        <v>15</v>
      </c>
      <c r="J335" s="1">
        <v>5</v>
      </c>
      <c r="K335" s="1" t="s">
        <v>16</v>
      </c>
      <c r="L335" s="1">
        <v>3</v>
      </c>
      <c r="M335" s="1" t="s">
        <v>20</v>
      </c>
      <c r="N335" s="5">
        <f>IF(Tabulka1[[#This Row],[E-shop]]="ano",1,0)</f>
        <v>0</v>
      </c>
      <c r="O335" s="5">
        <f>IF(Tabulka1[[#This Row],[Reklamace]]="ano",1,0)</f>
        <v>1</v>
      </c>
    </row>
    <row r="336" spans="1:15" ht="15.75" customHeight="1" x14ac:dyDescent="0.3">
      <c r="A336" s="1">
        <v>829</v>
      </c>
      <c r="B336" s="2">
        <v>45849</v>
      </c>
      <c r="C336" s="1" t="s">
        <v>18</v>
      </c>
      <c r="D336" s="1" t="s">
        <v>19</v>
      </c>
      <c r="E336" s="1">
        <v>10</v>
      </c>
      <c r="F336" s="1">
        <v>9000</v>
      </c>
      <c r="G336" s="1">
        <v>90000</v>
      </c>
      <c r="H336" s="1">
        <v>22135</v>
      </c>
      <c r="I336" s="1" t="s">
        <v>15</v>
      </c>
      <c r="J336" s="1">
        <v>6</v>
      </c>
      <c r="K336" s="1" t="s">
        <v>16</v>
      </c>
      <c r="L336" s="1">
        <v>5</v>
      </c>
      <c r="M336" s="1" t="s">
        <v>20</v>
      </c>
      <c r="N336" s="5">
        <f>IF(Tabulka1[[#This Row],[E-shop]]="ano",1,0)</f>
        <v>0</v>
      </c>
      <c r="O336" s="5">
        <f>IF(Tabulka1[[#This Row],[Reklamace]]="ano",1,0)</f>
        <v>1</v>
      </c>
    </row>
    <row r="337" spans="1:15" ht="15.75" customHeight="1" x14ac:dyDescent="0.3">
      <c r="A337" s="1">
        <v>869</v>
      </c>
      <c r="B337" s="2">
        <v>45532</v>
      </c>
      <c r="C337" s="1" t="s">
        <v>18</v>
      </c>
      <c r="D337" s="1" t="s">
        <v>38</v>
      </c>
      <c r="E337" s="1">
        <v>10</v>
      </c>
      <c r="F337" s="1">
        <v>9000</v>
      </c>
      <c r="G337" s="1">
        <v>90000</v>
      </c>
      <c r="H337" s="1">
        <v>21629</v>
      </c>
      <c r="I337" s="1" t="s">
        <v>16</v>
      </c>
      <c r="J337" s="1">
        <v>6</v>
      </c>
      <c r="K337" s="1" t="s">
        <v>16</v>
      </c>
      <c r="L337" s="1">
        <v>4</v>
      </c>
      <c r="M337" s="1" t="s">
        <v>20</v>
      </c>
      <c r="N337" s="5">
        <f>IF(Tabulka1[[#This Row],[E-shop]]="ano",1,0)</f>
        <v>1</v>
      </c>
      <c r="O337" s="5">
        <f>IF(Tabulka1[[#This Row],[Reklamace]]="ano",1,0)</f>
        <v>1</v>
      </c>
    </row>
    <row r="338" spans="1:15" ht="15.75" customHeight="1" x14ac:dyDescent="0.3">
      <c r="A338" s="1">
        <v>969</v>
      </c>
      <c r="B338" s="2">
        <v>45528</v>
      </c>
      <c r="C338" s="1" t="s">
        <v>31</v>
      </c>
      <c r="D338" s="1" t="s">
        <v>32</v>
      </c>
      <c r="E338" s="1">
        <v>9</v>
      </c>
      <c r="F338" s="1">
        <v>10000</v>
      </c>
      <c r="G338" s="1">
        <v>90000</v>
      </c>
      <c r="H338" s="1">
        <v>14327</v>
      </c>
      <c r="I338" s="1" t="s">
        <v>15</v>
      </c>
      <c r="J338" s="1">
        <v>3</v>
      </c>
      <c r="K338" s="1" t="s">
        <v>16</v>
      </c>
      <c r="L338" s="1">
        <v>7</v>
      </c>
      <c r="M338" s="1" t="s">
        <v>17</v>
      </c>
      <c r="N338" s="5">
        <f>IF(Tabulka1[[#This Row],[E-shop]]="ano",1,0)</f>
        <v>0</v>
      </c>
      <c r="O338" s="5">
        <f>IF(Tabulka1[[#This Row],[Reklamace]]="ano",1,0)</f>
        <v>1</v>
      </c>
    </row>
    <row r="339" spans="1:15" ht="15.75" customHeight="1" x14ac:dyDescent="0.3">
      <c r="A339" s="1">
        <v>63</v>
      </c>
      <c r="B339" s="2">
        <v>45948</v>
      </c>
      <c r="C339" s="1" t="s">
        <v>25</v>
      </c>
      <c r="D339" s="1" t="s">
        <v>43</v>
      </c>
      <c r="E339" s="1">
        <v>8</v>
      </c>
      <c r="F339" s="1">
        <v>11000</v>
      </c>
      <c r="G339" s="1">
        <v>88000</v>
      </c>
      <c r="H339" s="1">
        <v>25964</v>
      </c>
      <c r="I339" s="1" t="s">
        <v>15</v>
      </c>
      <c r="J339" s="1">
        <v>4</v>
      </c>
      <c r="K339" s="1" t="s">
        <v>15</v>
      </c>
      <c r="L339" s="1">
        <v>5</v>
      </c>
      <c r="M339" s="1" t="s">
        <v>20</v>
      </c>
      <c r="N339" s="5">
        <f>IF(Tabulka1[[#This Row],[E-shop]]="ano",1,0)</f>
        <v>0</v>
      </c>
      <c r="O339" s="5">
        <f>IF(Tabulka1[[#This Row],[Reklamace]]="ano",1,0)</f>
        <v>0</v>
      </c>
    </row>
    <row r="340" spans="1:15" ht="15.75" customHeight="1" x14ac:dyDescent="0.3">
      <c r="A340" s="1">
        <v>197</v>
      </c>
      <c r="B340" s="2">
        <v>45833</v>
      </c>
      <c r="C340" s="1" t="s">
        <v>18</v>
      </c>
      <c r="D340" s="1" t="s">
        <v>30</v>
      </c>
      <c r="E340" s="1">
        <v>11</v>
      </c>
      <c r="F340" s="1">
        <v>8000</v>
      </c>
      <c r="G340" s="1">
        <v>88000</v>
      </c>
      <c r="H340" s="1">
        <v>18419</v>
      </c>
      <c r="I340" s="1" t="s">
        <v>15</v>
      </c>
      <c r="J340" s="1">
        <v>3</v>
      </c>
      <c r="K340" s="1" t="s">
        <v>15</v>
      </c>
      <c r="L340" s="1">
        <v>7</v>
      </c>
      <c r="M340" s="1" t="s">
        <v>20</v>
      </c>
      <c r="N340" s="5">
        <f>IF(Tabulka1[[#This Row],[E-shop]]="ano",1,0)</f>
        <v>0</v>
      </c>
      <c r="O340" s="5">
        <f>IF(Tabulka1[[#This Row],[Reklamace]]="ano",1,0)</f>
        <v>0</v>
      </c>
    </row>
    <row r="341" spans="1:15" ht="15.75" customHeight="1" x14ac:dyDescent="0.3">
      <c r="A341" s="1">
        <v>491</v>
      </c>
      <c r="B341" s="2">
        <v>45399</v>
      </c>
      <c r="C341" s="1" t="s">
        <v>21</v>
      </c>
      <c r="D341" s="1" t="s">
        <v>48</v>
      </c>
      <c r="E341" s="1">
        <v>4</v>
      </c>
      <c r="F341" s="1">
        <v>22000</v>
      </c>
      <c r="G341" s="1">
        <v>88000</v>
      </c>
      <c r="H341" s="1">
        <v>16843</v>
      </c>
      <c r="I341" s="1" t="s">
        <v>16</v>
      </c>
      <c r="J341" s="1">
        <v>6</v>
      </c>
      <c r="K341" s="1" t="s">
        <v>15</v>
      </c>
      <c r="L341" s="1">
        <v>2</v>
      </c>
      <c r="M341" s="1" t="s">
        <v>17</v>
      </c>
      <c r="N341" s="5">
        <f>IF(Tabulka1[[#This Row],[E-shop]]="ano",1,0)</f>
        <v>1</v>
      </c>
      <c r="O341" s="5">
        <f>IF(Tabulka1[[#This Row],[Reklamace]]="ano",1,0)</f>
        <v>0</v>
      </c>
    </row>
    <row r="342" spans="1:15" ht="15.75" customHeight="1" x14ac:dyDescent="0.3">
      <c r="A342" s="1">
        <v>570</v>
      </c>
      <c r="B342" s="2">
        <v>45892</v>
      </c>
      <c r="C342" s="1" t="s">
        <v>23</v>
      </c>
      <c r="D342" s="1" t="s">
        <v>48</v>
      </c>
      <c r="E342" s="1">
        <v>4</v>
      </c>
      <c r="F342" s="1">
        <v>22000</v>
      </c>
      <c r="G342" s="1">
        <v>88000</v>
      </c>
      <c r="H342" s="1">
        <v>22694</v>
      </c>
      <c r="I342" s="1" t="s">
        <v>16</v>
      </c>
      <c r="J342" s="1">
        <v>3</v>
      </c>
      <c r="K342" s="1" t="s">
        <v>16</v>
      </c>
      <c r="L342" s="1">
        <v>6</v>
      </c>
      <c r="M342" s="1" t="s">
        <v>20</v>
      </c>
      <c r="N342" s="5">
        <f>IF(Tabulka1[[#This Row],[E-shop]]="ano",1,0)</f>
        <v>1</v>
      </c>
      <c r="O342" s="5">
        <f>IF(Tabulka1[[#This Row],[Reklamace]]="ano",1,0)</f>
        <v>1</v>
      </c>
    </row>
    <row r="343" spans="1:15" ht="15.75" customHeight="1" x14ac:dyDescent="0.3">
      <c r="A343" s="1">
        <v>661</v>
      </c>
      <c r="B343" s="2">
        <v>45610</v>
      </c>
      <c r="C343" s="1" t="s">
        <v>18</v>
      </c>
      <c r="D343" s="1" t="s">
        <v>48</v>
      </c>
      <c r="E343" s="1">
        <v>4</v>
      </c>
      <c r="F343" s="1">
        <v>22000</v>
      </c>
      <c r="G343" s="1">
        <v>88000</v>
      </c>
      <c r="H343" s="1">
        <v>21035</v>
      </c>
      <c r="I343" s="1" t="s">
        <v>15</v>
      </c>
      <c r="J343" s="1">
        <v>3</v>
      </c>
      <c r="K343" s="1" t="s">
        <v>16</v>
      </c>
      <c r="L343" s="1">
        <v>8</v>
      </c>
      <c r="M343" s="1" t="s">
        <v>20</v>
      </c>
      <c r="N343" s="5">
        <f>IF(Tabulka1[[#This Row],[E-shop]]="ano",1,0)</f>
        <v>0</v>
      </c>
      <c r="O343" s="5">
        <f>IF(Tabulka1[[#This Row],[Reklamace]]="ano",1,0)</f>
        <v>1</v>
      </c>
    </row>
    <row r="344" spans="1:15" ht="15.75" customHeight="1" x14ac:dyDescent="0.3">
      <c r="A344" s="1">
        <v>151</v>
      </c>
      <c r="B344" s="2">
        <v>45674</v>
      </c>
      <c r="C344" s="1" t="s">
        <v>13</v>
      </c>
      <c r="D344" s="1" t="s">
        <v>35</v>
      </c>
      <c r="E344" s="1">
        <v>7</v>
      </c>
      <c r="F344" s="1">
        <v>12000</v>
      </c>
      <c r="G344" s="1">
        <v>84000</v>
      </c>
      <c r="H344" s="1">
        <v>21237</v>
      </c>
      <c r="I344" s="1" t="s">
        <v>16</v>
      </c>
      <c r="J344" s="1">
        <v>7</v>
      </c>
      <c r="K344" s="1" t="s">
        <v>15</v>
      </c>
      <c r="L344" s="1">
        <v>2</v>
      </c>
      <c r="M344" s="1" t="s">
        <v>20</v>
      </c>
      <c r="N344" s="5">
        <f>IF(Tabulka1[[#This Row],[E-shop]]="ano",1,0)</f>
        <v>1</v>
      </c>
      <c r="O344" s="5">
        <f>IF(Tabulka1[[#This Row],[Reklamace]]="ano",1,0)</f>
        <v>0</v>
      </c>
    </row>
    <row r="345" spans="1:15" ht="15.75" customHeight="1" x14ac:dyDescent="0.3">
      <c r="A345" s="1">
        <v>173</v>
      </c>
      <c r="B345" s="2">
        <v>45316</v>
      </c>
      <c r="C345" s="1" t="s">
        <v>31</v>
      </c>
      <c r="D345" s="1" t="s">
        <v>40</v>
      </c>
      <c r="E345" s="1">
        <v>6</v>
      </c>
      <c r="F345" s="1">
        <v>14000</v>
      </c>
      <c r="G345" s="1">
        <v>84000</v>
      </c>
      <c r="H345" s="1">
        <v>13815</v>
      </c>
      <c r="I345" s="1" t="s">
        <v>15</v>
      </c>
      <c r="J345" s="1">
        <v>7</v>
      </c>
      <c r="K345" s="1" t="s">
        <v>16</v>
      </c>
      <c r="L345" s="1">
        <v>4</v>
      </c>
      <c r="M345" s="1" t="s">
        <v>17</v>
      </c>
      <c r="N345" s="5">
        <f>IF(Tabulka1[[#This Row],[E-shop]]="ano",1,0)</f>
        <v>0</v>
      </c>
      <c r="O345" s="5">
        <f>IF(Tabulka1[[#This Row],[Reklamace]]="ano",1,0)</f>
        <v>1</v>
      </c>
    </row>
    <row r="346" spans="1:15" ht="15.75" customHeight="1" x14ac:dyDescent="0.3">
      <c r="A346" s="1">
        <v>204</v>
      </c>
      <c r="B346" s="2">
        <v>45596</v>
      </c>
      <c r="C346" s="1" t="s">
        <v>23</v>
      </c>
      <c r="D346" s="1" t="s">
        <v>37</v>
      </c>
      <c r="E346" s="1">
        <v>12</v>
      </c>
      <c r="F346" s="1">
        <v>7000</v>
      </c>
      <c r="G346" s="1">
        <v>84000</v>
      </c>
      <c r="H346" s="1">
        <v>18460</v>
      </c>
      <c r="I346" s="1" t="s">
        <v>16</v>
      </c>
      <c r="J346" s="1">
        <v>8</v>
      </c>
      <c r="K346" s="1" t="s">
        <v>15</v>
      </c>
      <c r="L346" s="1">
        <v>1</v>
      </c>
      <c r="M346" s="1" t="s">
        <v>17</v>
      </c>
      <c r="N346" s="5">
        <f>IF(Tabulka1[[#This Row],[E-shop]]="ano",1,0)</f>
        <v>1</v>
      </c>
      <c r="O346" s="5">
        <f>IF(Tabulka1[[#This Row],[Reklamace]]="ano",1,0)</f>
        <v>0</v>
      </c>
    </row>
    <row r="347" spans="1:15" ht="15.75" customHeight="1" x14ac:dyDescent="0.3">
      <c r="A347" s="1">
        <v>206</v>
      </c>
      <c r="B347" s="2">
        <v>45320</v>
      </c>
      <c r="C347" s="1" t="s">
        <v>25</v>
      </c>
      <c r="D347" s="1" t="s">
        <v>42</v>
      </c>
      <c r="E347" s="1">
        <v>12</v>
      </c>
      <c r="F347" s="1">
        <v>7000</v>
      </c>
      <c r="G347" s="1">
        <v>84000</v>
      </c>
      <c r="H347" s="1">
        <v>22828</v>
      </c>
      <c r="I347" s="1" t="s">
        <v>16</v>
      </c>
      <c r="J347" s="1">
        <v>8</v>
      </c>
      <c r="K347" s="1" t="s">
        <v>16</v>
      </c>
      <c r="L347" s="1">
        <v>1</v>
      </c>
      <c r="M347" s="1" t="s">
        <v>20</v>
      </c>
      <c r="N347" s="5">
        <f>IF(Tabulka1[[#This Row],[E-shop]]="ano",1,0)</f>
        <v>1</v>
      </c>
      <c r="O347" s="5">
        <f>IF(Tabulka1[[#This Row],[Reklamace]]="ano",1,0)</f>
        <v>1</v>
      </c>
    </row>
    <row r="348" spans="1:15" ht="15.75" customHeight="1" x14ac:dyDescent="0.3">
      <c r="A348" s="1">
        <v>233</v>
      </c>
      <c r="B348" s="2">
        <v>45450</v>
      </c>
      <c r="C348" s="1" t="s">
        <v>25</v>
      </c>
      <c r="D348" s="1" t="s">
        <v>35</v>
      </c>
      <c r="E348" s="1">
        <v>7</v>
      </c>
      <c r="F348" s="1">
        <v>12000</v>
      </c>
      <c r="G348" s="1">
        <v>84000</v>
      </c>
      <c r="H348" s="1">
        <v>15700</v>
      </c>
      <c r="I348" s="1" t="s">
        <v>15</v>
      </c>
      <c r="J348" s="1">
        <v>8</v>
      </c>
      <c r="K348" s="1" t="s">
        <v>15</v>
      </c>
      <c r="L348" s="1">
        <v>2</v>
      </c>
      <c r="M348" s="1" t="s">
        <v>20</v>
      </c>
      <c r="N348" s="5">
        <f>IF(Tabulka1[[#This Row],[E-shop]]="ano",1,0)</f>
        <v>0</v>
      </c>
      <c r="O348" s="5">
        <f>IF(Tabulka1[[#This Row],[Reklamace]]="ano",1,0)</f>
        <v>0</v>
      </c>
    </row>
    <row r="349" spans="1:15" ht="15.75" customHeight="1" x14ac:dyDescent="0.3">
      <c r="A349" s="1">
        <v>250</v>
      </c>
      <c r="B349" s="2">
        <v>45984</v>
      </c>
      <c r="C349" s="1" t="s">
        <v>31</v>
      </c>
      <c r="D349" s="1" t="s">
        <v>42</v>
      </c>
      <c r="E349" s="1">
        <v>12</v>
      </c>
      <c r="F349" s="1">
        <v>7000</v>
      </c>
      <c r="G349" s="1">
        <v>84000</v>
      </c>
      <c r="H349" s="1">
        <v>25117</v>
      </c>
      <c r="I349" s="1" t="s">
        <v>16</v>
      </c>
      <c r="J349" s="1">
        <v>4</v>
      </c>
      <c r="K349" s="1" t="s">
        <v>15</v>
      </c>
      <c r="L349" s="1">
        <v>7</v>
      </c>
      <c r="M349" s="1" t="s">
        <v>17</v>
      </c>
      <c r="N349" s="5">
        <f>IF(Tabulka1[[#This Row],[E-shop]]="ano",1,0)</f>
        <v>1</v>
      </c>
      <c r="O349" s="5">
        <f>IF(Tabulka1[[#This Row],[Reklamace]]="ano",1,0)</f>
        <v>0</v>
      </c>
    </row>
    <row r="350" spans="1:15" ht="15.75" customHeight="1" x14ac:dyDescent="0.3">
      <c r="A350" s="1">
        <v>332</v>
      </c>
      <c r="B350" s="2">
        <v>45452</v>
      </c>
      <c r="C350" s="1" t="s">
        <v>31</v>
      </c>
      <c r="D350" s="1" t="s">
        <v>35</v>
      </c>
      <c r="E350" s="1">
        <v>7</v>
      </c>
      <c r="F350" s="1">
        <v>12000</v>
      </c>
      <c r="G350" s="1">
        <v>84000</v>
      </c>
      <c r="H350" s="1">
        <v>18009</v>
      </c>
      <c r="I350" s="1" t="s">
        <v>15</v>
      </c>
      <c r="J350" s="1">
        <v>3</v>
      </c>
      <c r="K350" s="1" t="s">
        <v>15</v>
      </c>
      <c r="L350" s="1">
        <v>7</v>
      </c>
      <c r="M350" s="1" t="s">
        <v>20</v>
      </c>
      <c r="N350" s="5">
        <f>IF(Tabulka1[[#This Row],[E-shop]]="ano",1,0)</f>
        <v>0</v>
      </c>
      <c r="O350" s="5">
        <f>IF(Tabulka1[[#This Row],[Reklamace]]="ano",1,0)</f>
        <v>0</v>
      </c>
    </row>
    <row r="351" spans="1:15" ht="15.75" customHeight="1" x14ac:dyDescent="0.3">
      <c r="A351" s="1">
        <v>337</v>
      </c>
      <c r="B351" s="2">
        <v>45812</v>
      </c>
      <c r="C351" s="1" t="s">
        <v>25</v>
      </c>
      <c r="D351" s="1" t="s">
        <v>40</v>
      </c>
      <c r="E351" s="1">
        <v>6</v>
      </c>
      <c r="F351" s="1">
        <v>14000</v>
      </c>
      <c r="G351" s="1">
        <v>84000</v>
      </c>
      <c r="H351" s="1">
        <v>17480</v>
      </c>
      <c r="I351" s="1" t="s">
        <v>15</v>
      </c>
      <c r="J351" s="1">
        <v>3</v>
      </c>
      <c r="K351" s="1" t="s">
        <v>15</v>
      </c>
      <c r="L351" s="1">
        <v>7</v>
      </c>
      <c r="M351" s="1" t="s">
        <v>20</v>
      </c>
      <c r="N351" s="5">
        <f>IF(Tabulka1[[#This Row],[E-shop]]="ano",1,0)</f>
        <v>0</v>
      </c>
      <c r="O351" s="5">
        <f>IF(Tabulka1[[#This Row],[Reklamace]]="ano",1,0)</f>
        <v>0</v>
      </c>
    </row>
    <row r="352" spans="1:15" ht="15.75" customHeight="1" x14ac:dyDescent="0.3">
      <c r="A352" s="1">
        <v>361</v>
      </c>
      <c r="B352" s="2">
        <v>45294</v>
      </c>
      <c r="C352" s="1" t="s">
        <v>21</v>
      </c>
      <c r="D352" s="1" t="s">
        <v>24</v>
      </c>
      <c r="E352" s="1">
        <v>12</v>
      </c>
      <c r="F352" s="1">
        <v>7000</v>
      </c>
      <c r="G352" s="1">
        <v>84000</v>
      </c>
      <c r="H352" s="1">
        <v>17526</v>
      </c>
      <c r="I352" s="1" t="s">
        <v>15</v>
      </c>
      <c r="J352" s="1">
        <v>8</v>
      </c>
      <c r="K352" s="1" t="s">
        <v>15</v>
      </c>
      <c r="L352" s="1">
        <v>1</v>
      </c>
      <c r="M352" s="1" t="s">
        <v>20</v>
      </c>
      <c r="N352" s="5">
        <f>IF(Tabulka1[[#This Row],[E-shop]]="ano",1,0)</f>
        <v>0</v>
      </c>
      <c r="O352" s="5">
        <f>IF(Tabulka1[[#This Row],[Reklamace]]="ano",1,0)</f>
        <v>0</v>
      </c>
    </row>
    <row r="353" spans="1:15" ht="15.75" customHeight="1" x14ac:dyDescent="0.3">
      <c r="A353" s="1">
        <v>363</v>
      </c>
      <c r="B353" s="2">
        <v>45630</v>
      </c>
      <c r="C353" s="1" t="s">
        <v>31</v>
      </c>
      <c r="D353" s="1" t="s">
        <v>37</v>
      </c>
      <c r="E353" s="1">
        <v>12</v>
      </c>
      <c r="F353" s="1">
        <v>7000</v>
      </c>
      <c r="G353" s="1">
        <v>84000</v>
      </c>
      <c r="H353" s="1">
        <v>18164</v>
      </c>
      <c r="I353" s="1" t="s">
        <v>15</v>
      </c>
      <c r="J353" s="1">
        <v>7</v>
      </c>
      <c r="K353" s="1" t="s">
        <v>16</v>
      </c>
      <c r="L353" s="1">
        <v>4</v>
      </c>
      <c r="M353" s="1" t="s">
        <v>17</v>
      </c>
      <c r="N353" s="5">
        <f>IF(Tabulka1[[#This Row],[E-shop]]="ano",1,0)</f>
        <v>0</v>
      </c>
      <c r="O353" s="5">
        <f>IF(Tabulka1[[#This Row],[Reklamace]]="ano",1,0)</f>
        <v>1</v>
      </c>
    </row>
    <row r="354" spans="1:15" ht="15.75" customHeight="1" x14ac:dyDescent="0.3">
      <c r="A354" s="1">
        <v>370</v>
      </c>
      <c r="B354" s="2">
        <v>45349</v>
      </c>
      <c r="C354" s="1" t="s">
        <v>25</v>
      </c>
      <c r="D354" s="1" t="s">
        <v>24</v>
      </c>
      <c r="E354" s="1">
        <v>12</v>
      </c>
      <c r="F354" s="1">
        <v>7000</v>
      </c>
      <c r="G354" s="1">
        <v>84000</v>
      </c>
      <c r="H354" s="1">
        <v>21318</v>
      </c>
      <c r="I354" s="1" t="s">
        <v>16</v>
      </c>
      <c r="J354" s="1">
        <v>4</v>
      </c>
      <c r="K354" s="1" t="s">
        <v>15</v>
      </c>
      <c r="L354" s="1">
        <v>6</v>
      </c>
      <c r="M354" s="1" t="s">
        <v>17</v>
      </c>
      <c r="N354" s="5">
        <f>IF(Tabulka1[[#This Row],[E-shop]]="ano",1,0)</f>
        <v>1</v>
      </c>
      <c r="O354" s="5">
        <f>IF(Tabulka1[[#This Row],[Reklamace]]="ano",1,0)</f>
        <v>0</v>
      </c>
    </row>
    <row r="355" spans="1:15" ht="15.75" customHeight="1" x14ac:dyDescent="0.3">
      <c r="A355" s="1">
        <v>406</v>
      </c>
      <c r="B355" s="2">
        <v>45309</v>
      </c>
      <c r="C355" s="1" t="s">
        <v>23</v>
      </c>
      <c r="D355" s="1" t="s">
        <v>42</v>
      </c>
      <c r="E355" s="1">
        <v>12</v>
      </c>
      <c r="F355" s="1">
        <v>7000</v>
      </c>
      <c r="G355" s="1">
        <v>84000</v>
      </c>
      <c r="H355" s="1">
        <v>22850</v>
      </c>
      <c r="I355" s="1" t="s">
        <v>15</v>
      </c>
      <c r="J355" s="1">
        <v>4</v>
      </c>
      <c r="K355" s="1" t="s">
        <v>15</v>
      </c>
      <c r="L355" s="1">
        <v>6</v>
      </c>
      <c r="M355" s="1" t="s">
        <v>17</v>
      </c>
      <c r="N355" s="5">
        <f>IF(Tabulka1[[#This Row],[E-shop]]="ano",1,0)</f>
        <v>0</v>
      </c>
      <c r="O355" s="5">
        <f>IF(Tabulka1[[#This Row],[Reklamace]]="ano",1,0)</f>
        <v>0</v>
      </c>
    </row>
    <row r="356" spans="1:15" ht="15.75" customHeight="1" x14ac:dyDescent="0.3">
      <c r="A356" s="1">
        <v>419</v>
      </c>
      <c r="B356" s="2">
        <v>45877</v>
      </c>
      <c r="C356" s="1" t="s">
        <v>18</v>
      </c>
      <c r="D356" s="1" t="s">
        <v>35</v>
      </c>
      <c r="E356" s="1">
        <v>7</v>
      </c>
      <c r="F356" s="1">
        <v>12000</v>
      </c>
      <c r="G356" s="1">
        <v>84000</v>
      </c>
      <c r="H356" s="1">
        <v>16382</v>
      </c>
      <c r="I356" s="1" t="s">
        <v>15</v>
      </c>
      <c r="J356" s="1">
        <v>3</v>
      </c>
      <c r="K356" s="1" t="s">
        <v>16</v>
      </c>
      <c r="L356" s="1">
        <v>5</v>
      </c>
      <c r="M356" s="1" t="s">
        <v>20</v>
      </c>
      <c r="N356" s="5">
        <f>IF(Tabulka1[[#This Row],[E-shop]]="ano",1,0)</f>
        <v>0</v>
      </c>
      <c r="O356" s="5">
        <f>IF(Tabulka1[[#This Row],[Reklamace]]="ano",1,0)</f>
        <v>1</v>
      </c>
    </row>
    <row r="357" spans="1:15" ht="15.75" customHeight="1" x14ac:dyDescent="0.3">
      <c r="A357" s="1">
        <v>454</v>
      </c>
      <c r="B357" s="2">
        <v>45818</v>
      </c>
      <c r="C357" s="1" t="s">
        <v>13</v>
      </c>
      <c r="D357" s="1" t="s">
        <v>33</v>
      </c>
      <c r="E357" s="1">
        <v>14</v>
      </c>
      <c r="F357" s="1">
        <v>6000</v>
      </c>
      <c r="G357" s="1">
        <v>84000</v>
      </c>
      <c r="H357" s="1">
        <v>13876</v>
      </c>
      <c r="I357" s="1" t="s">
        <v>15</v>
      </c>
      <c r="J357" s="1">
        <v>5</v>
      </c>
      <c r="K357" s="1" t="s">
        <v>16</v>
      </c>
      <c r="L357" s="1">
        <v>4</v>
      </c>
      <c r="M357" s="1" t="s">
        <v>17</v>
      </c>
      <c r="N357" s="5">
        <f>IF(Tabulka1[[#This Row],[E-shop]]="ano",1,0)</f>
        <v>0</v>
      </c>
      <c r="O357" s="5">
        <f>IF(Tabulka1[[#This Row],[Reklamace]]="ano",1,0)</f>
        <v>1</v>
      </c>
    </row>
    <row r="358" spans="1:15" ht="15.75" customHeight="1" x14ac:dyDescent="0.3">
      <c r="A358" s="1">
        <v>469</v>
      </c>
      <c r="B358" s="2">
        <v>45610</v>
      </c>
      <c r="C358" s="1" t="s">
        <v>18</v>
      </c>
      <c r="D358" s="1" t="s">
        <v>14</v>
      </c>
      <c r="E358" s="1">
        <v>7</v>
      </c>
      <c r="F358" s="1">
        <v>12000</v>
      </c>
      <c r="G358" s="1">
        <v>84000</v>
      </c>
      <c r="H358" s="1">
        <v>22738</v>
      </c>
      <c r="I358" s="1" t="s">
        <v>15</v>
      </c>
      <c r="J358" s="1">
        <v>2</v>
      </c>
      <c r="K358" s="1" t="s">
        <v>15</v>
      </c>
      <c r="L358" s="1">
        <v>7</v>
      </c>
      <c r="M358" s="1" t="s">
        <v>17</v>
      </c>
      <c r="N358" s="5">
        <f>IF(Tabulka1[[#This Row],[E-shop]]="ano",1,0)</f>
        <v>0</v>
      </c>
      <c r="O358" s="5">
        <f>IF(Tabulka1[[#This Row],[Reklamace]]="ano",1,0)</f>
        <v>0</v>
      </c>
    </row>
    <row r="359" spans="1:15" ht="15.75" customHeight="1" x14ac:dyDescent="0.3">
      <c r="A359" s="1">
        <v>509</v>
      </c>
      <c r="B359" s="2">
        <v>45497</v>
      </c>
      <c r="C359" s="1" t="s">
        <v>31</v>
      </c>
      <c r="D359" s="1" t="s">
        <v>42</v>
      </c>
      <c r="E359" s="1">
        <v>12</v>
      </c>
      <c r="F359" s="1">
        <v>7000</v>
      </c>
      <c r="G359" s="1">
        <v>84000</v>
      </c>
      <c r="H359" s="1">
        <v>18368</v>
      </c>
      <c r="I359" s="1" t="s">
        <v>15</v>
      </c>
      <c r="J359" s="1">
        <v>3</v>
      </c>
      <c r="K359" s="1" t="s">
        <v>15</v>
      </c>
      <c r="L359" s="1">
        <v>6</v>
      </c>
      <c r="M359" s="1" t="s">
        <v>20</v>
      </c>
      <c r="N359" s="5">
        <f>IF(Tabulka1[[#This Row],[E-shop]]="ano",1,0)</f>
        <v>0</v>
      </c>
      <c r="O359" s="5">
        <f>IF(Tabulka1[[#This Row],[Reklamace]]="ano",1,0)</f>
        <v>0</v>
      </c>
    </row>
    <row r="360" spans="1:15" ht="15.75" customHeight="1" x14ac:dyDescent="0.3">
      <c r="A360" s="1">
        <v>515</v>
      </c>
      <c r="B360" s="2">
        <v>45361</v>
      </c>
      <c r="C360" s="1" t="s">
        <v>36</v>
      </c>
      <c r="D360" s="1" t="s">
        <v>26</v>
      </c>
      <c r="E360" s="1">
        <v>7</v>
      </c>
      <c r="F360" s="1">
        <v>12000</v>
      </c>
      <c r="G360" s="1">
        <v>84000</v>
      </c>
      <c r="H360" s="1">
        <v>24372</v>
      </c>
      <c r="I360" s="1" t="s">
        <v>15</v>
      </c>
      <c r="J360" s="1">
        <v>2</v>
      </c>
      <c r="K360" s="1" t="s">
        <v>15</v>
      </c>
      <c r="L360" s="1">
        <v>9</v>
      </c>
      <c r="M360" s="1" t="s">
        <v>20</v>
      </c>
      <c r="N360" s="5">
        <f>IF(Tabulka1[[#This Row],[E-shop]]="ano",1,0)</f>
        <v>0</v>
      </c>
      <c r="O360" s="5">
        <f>IF(Tabulka1[[#This Row],[Reklamace]]="ano",1,0)</f>
        <v>0</v>
      </c>
    </row>
    <row r="361" spans="1:15" ht="15.75" customHeight="1" x14ac:dyDescent="0.3">
      <c r="A361" s="1">
        <v>519</v>
      </c>
      <c r="B361" s="2">
        <v>45781</v>
      </c>
      <c r="C361" s="1" t="s">
        <v>13</v>
      </c>
      <c r="D361" s="1" t="s">
        <v>37</v>
      </c>
      <c r="E361" s="1">
        <v>12</v>
      </c>
      <c r="F361" s="1">
        <v>7000</v>
      </c>
      <c r="G361" s="1">
        <v>84000</v>
      </c>
      <c r="H361" s="1">
        <v>23029</v>
      </c>
      <c r="I361" s="1" t="s">
        <v>16</v>
      </c>
      <c r="J361" s="1">
        <v>7</v>
      </c>
      <c r="K361" s="1" t="s">
        <v>16</v>
      </c>
      <c r="L361" s="1">
        <v>4</v>
      </c>
      <c r="M361" s="1" t="s">
        <v>20</v>
      </c>
      <c r="N361" s="5">
        <f>IF(Tabulka1[[#This Row],[E-shop]]="ano",1,0)</f>
        <v>1</v>
      </c>
      <c r="O361" s="5">
        <f>IF(Tabulka1[[#This Row],[Reklamace]]="ano",1,0)</f>
        <v>1</v>
      </c>
    </row>
    <row r="362" spans="1:15" ht="15.75" customHeight="1" x14ac:dyDescent="0.3">
      <c r="A362" s="1">
        <v>528</v>
      </c>
      <c r="B362" s="2">
        <v>45884</v>
      </c>
      <c r="C362" s="1" t="s">
        <v>36</v>
      </c>
      <c r="D362" s="1" t="s">
        <v>35</v>
      </c>
      <c r="E362" s="1">
        <v>7</v>
      </c>
      <c r="F362" s="1">
        <v>12000</v>
      </c>
      <c r="G362" s="1">
        <v>84000</v>
      </c>
      <c r="H362" s="1">
        <v>13361</v>
      </c>
      <c r="I362" s="1" t="s">
        <v>16</v>
      </c>
      <c r="J362" s="1">
        <v>4</v>
      </c>
      <c r="K362" s="1" t="s">
        <v>15</v>
      </c>
      <c r="L362" s="1">
        <v>5</v>
      </c>
      <c r="M362" s="1" t="s">
        <v>17</v>
      </c>
      <c r="N362" s="5">
        <f>IF(Tabulka1[[#This Row],[E-shop]]="ano",1,0)</f>
        <v>1</v>
      </c>
      <c r="O362" s="5">
        <f>IF(Tabulka1[[#This Row],[Reklamace]]="ano",1,0)</f>
        <v>0</v>
      </c>
    </row>
    <row r="363" spans="1:15" ht="15.75" customHeight="1" x14ac:dyDescent="0.3">
      <c r="A363" s="1">
        <v>545</v>
      </c>
      <c r="B363" s="2">
        <v>45783</v>
      </c>
      <c r="C363" s="1" t="s">
        <v>25</v>
      </c>
      <c r="D363" s="1" t="s">
        <v>14</v>
      </c>
      <c r="E363" s="1">
        <v>7</v>
      </c>
      <c r="F363" s="1">
        <v>12000</v>
      </c>
      <c r="G363" s="1">
        <v>84000</v>
      </c>
      <c r="H363" s="1">
        <v>15532</v>
      </c>
      <c r="I363" s="1" t="s">
        <v>15</v>
      </c>
      <c r="J363" s="1">
        <v>6</v>
      </c>
      <c r="K363" s="1" t="s">
        <v>15</v>
      </c>
      <c r="L363" s="1">
        <v>5</v>
      </c>
      <c r="M363" s="1" t="s">
        <v>17</v>
      </c>
      <c r="N363" s="5">
        <f>IF(Tabulka1[[#This Row],[E-shop]]="ano",1,0)</f>
        <v>0</v>
      </c>
      <c r="O363" s="5">
        <f>IF(Tabulka1[[#This Row],[Reklamace]]="ano",1,0)</f>
        <v>0</v>
      </c>
    </row>
    <row r="364" spans="1:15" ht="15.75" customHeight="1" x14ac:dyDescent="0.3">
      <c r="A364" s="1">
        <v>558</v>
      </c>
      <c r="B364" s="2">
        <v>45599</v>
      </c>
      <c r="C364" s="1" t="s">
        <v>21</v>
      </c>
      <c r="D364" s="1" t="s">
        <v>40</v>
      </c>
      <c r="E364" s="1">
        <v>6</v>
      </c>
      <c r="F364" s="1">
        <v>14000</v>
      </c>
      <c r="G364" s="1">
        <v>84000</v>
      </c>
      <c r="H364" s="1">
        <v>15813</v>
      </c>
      <c r="I364" s="1" t="s">
        <v>16</v>
      </c>
      <c r="J364" s="1">
        <v>2</v>
      </c>
      <c r="K364" s="1" t="s">
        <v>15</v>
      </c>
      <c r="L364" s="1">
        <v>8</v>
      </c>
      <c r="M364" s="1" t="s">
        <v>20</v>
      </c>
      <c r="N364" s="5">
        <f>IF(Tabulka1[[#This Row],[E-shop]]="ano",1,0)</f>
        <v>1</v>
      </c>
      <c r="O364" s="5">
        <f>IF(Tabulka1[[#This Row],[Reklamace]]="ano",1,0)</f>
        <v>0</v>
      </c>
    </row>
    <row r="365" spans="1:15" ht="15.75" customHeight="1" x14ac:dyDescent="0.3">
      <c r="A365" s="1">
        <v>573</v>
      </c>
      <c r="B365" s="2">
        <v>45876</v>
      </c>
      <c r="C365" s="1" t="s">
        <v>23</v>
      </c>
      <c r="D365" s="1" t="s">
        <v>26</v>
      </c>
      <c r="E365" s="1">
        <v>7</v>
      </c>
      <c r="F365" s="1">
        <v>12000</v>
      </c>
      <c r="G365" s="1">
        <v>84000</v>
      </c>
      <c r="H365" s="1">
        <v>16605</v>
      </c>
      <c r="I365" s="1" t="s">
        <v>16</v>
      </c>
      <c r="J365" s="1">
        <v>6</v>
      </c>
      <c r="K365" s="1" t="s">
        <v>15</v>
      </c>
      <c r="L365" s="1">
        <v>3</v>
      </c>
      <c r="M365" s="1" t="s">
        <v>17</v>
      </c>
      <c r="N365" s="5">
        <f>IF(Tabulka1[[#This Row],[E-shop]]="ano",1,0)</f>
        <v>1</v>
      </c>
      <c r="O365" s="5">
        <f>IF(Tabulka1[[#This Row],[Reklamace]]="ano",1,0)</f>
        <v>0</v>
      </c>
    </row>
    <row r="366" spans="1:15" ht="15.75" customHeight="1" x14ac:dyDescent="0.3">
      <c r="A366" s="1">
        <v>669</v>
      </c>
      <c r="B366" s="2">
        <v>45760</v>
      </c>
      <c r="C366" s="1" t="s">
        <v>23</v>
      </c>
      <c r="D366" s="1" t="s">
        <v>42</v>
      </c>
      <c r="E366" s="1">
        <v>12</v>
      </c>
      <c r="F366" s="1">
        <v>7000</v>
      </c>
      <c r="G366" s="1">
        <v>84000</v>
      </c>
      <c r="H366" s="1">
        <v>21026</v>
      </c>
      <c r="I366" s="1" t="s">
        <v>15</v>
      </c>
      <c r="J366" s="1">
        <v>3</v>
      </c>
      <c r="K366" s="1" t="s">
        <v>16</v>
      </c>
      <c r="L366" s="1">
        <v>5</v>
      </c>
      <c r="M366" s="1" t="s">
        <v>20</v>
      </c>
      <c r="N366" s="5">
        <f>IF(Tabulka1[[#This Row],[E-shop]]="ano",1,0)</f>
        <v>0</v>
      </c>
      <c r="O366" s="5">
        <f>IF(Tabulka1[[#This Row],[Reklamace]]="ano",1,0)</f>
        <v>1</v>
      </c>
    </row>
    <row r="367" spans="1:15" ht="15.75" customHeight="1" x14ac:dyDescent="0.3">
      <c r="A367" s="1">
        <v>676</v>
      </c>
      <c r="B367" s="2">
        <v>45928</v>
      </c>
      <c r="C367" s="1" t="s">
        <v>31</v>
      </c>
      <c r="D367" s="1" t="s">
        <v>26</v>
      </c>
      <c r="E367" s="1">
        <v>7</v>
      </c>
      <c r="F367" s="1">
        <v>12000</v>
      </c>
      <c r="G367" s="1">
        <v>84000</v>
      </c>
      <c r="H367" s="1">
        <v>15957</v>
      </c>
      <c r="I367" s="1" t="s">
        <v>15</v>
      </c>
      <c r="J367" s="1">
        <v>4</v>
      </c>
      <c r="K367" s="1" t="s">
        <v>15</v>
      </c>
      <c r="L367" s="1">
        <v>6</v>
      </c>
      <c r="M367" s="1" t="s">
        <v>20</v>
      </c>
      <c r="N367" s="5">
        <f>IF(Tabulka1[[#This Row],[E-shop]]="ano",1,0)</f>
        <v>0</v>
      </c>
      <c r="O367" s="5">
        <f>IF(Tabulka1[[#This Row],[Reklamace]]="ano",1,0)</f>
        <v>0</v>
      </c>
    </row>
    <row r="368" spans="1:15" ht="15.75" customHeight="1" x14ac:dyDescent="0.3">
      <c r="A368" s="1">
        <v>726</v>
      </c>
      <c r="B368" s="2">
        <v>45976</v>
      </c>
      <c r="C368" s="1" t="s">
        <v>18</v>
      </c>
      <c r="D368" s="1" t="s">
        <v>35</v>
      </c>
      <c r="E368" s="1">
        <v>7</v>
      </c>
      <c r="F368" s="1">
        <v>12000</v>
      </c>
      <c r="G368" s="1">
        <v>84000</v>
      </c>
      <c r="H368" s="1">
        <v>18435</v>
      </c>
      <c r="I368" s="1" t="s">
        <v>16</v>
      </c>
      <c r="J368" s="1">
        <v>5</v>
      </c>
      <c r="K368" s="1" t="s">
        <v>16</v>
      </c>
      <c r="L368" s="1">
        <v>5</v>
      </c>
      <c r="M368" s="1" t="s">
        <v>20</v>
      </c>
      <c r="N368" s="5">
        <f>IF(Tabulka1[[#This Row],[E-shop]]="ano",1,0)</f>
        <v>1</v>
      </c>
      <c r="O368" s="5">
        <f>IF(Tabulka1[[#This Row],[Reklamace]]="ano",1,0)</f>
        <v>1</v>
      </c>
    </row>
    <row r="369" spans="1:15" ht="15.75" customHeight="1" x14ac:dyDescent="0.3">
      <c r="A369" s="1">
        <v>787</v>
      </c>
      <c r="B369" s="2">
        <v>45828</v>
      </c>
      <c r="C369" s="1" t="s">
        <v>31</v>
      </c>
      <c r="D369" s="1" t="s">
        <v>33</v>
      </c>
      <c r="E369" s="1">
        <v>14</v>
      </c>
      <c r="F369" s="1">
        <v>6000</v>
      </c>
      <c r="G369" s="1">
        <v>84000</v>
      </c>
      <c r="H369" s="1">
        <v>21789</v>
      </c>
      <c r="I369" s="1" t="s">
        <v>16</v>
      </c>
      <c r="J369" s="1">
        <v>9</v>
      </c>
      <c r="K369" s="1" t="s">
        <v>16</v>
      </c>
      <c r="L369" s="1">
        <v>1</v>
      </c>
      <c r="M369" s="1" t="s">
        <v>20</v>
      </c>
      <c r="N369" s="5">
        <f>IF(Tabulka1[[#This Row],[E-shop]]="ano",1,0)</f>
        <v>1</v>
      </c>
      <c r="O369" s="5">
        <f>IF(Tabulka1[[#This Row],[Reklamace]]="ano",1,0)</f>
        <v>1</v>
      </c>
    </row>
    <row r="370" spans="1:15" ht="15.75" customHeight="1" x14ac:dyDescent="0.3">
      <c r="A370" s="1">
        <v>809</v>
      </c>
      <c r="B370" s="2">
        <v>45723</v>
      </c>
      <c r="C370" s="1" t="s">
        <v>18</v>
      </c>
      <c r="D370" s="1" t="s">
        <v>26</v>
      </c>
      <c r="E370" s="1">
        <v>7</v>
      </c>
      <c r="F370" s="1">
        <v>12000</v>
      </c>
      <c r="G370" s="1">
        <v>84000</v>
      </c>
      <c r="H370" s="1">
        <v>14703</v>
      </c>
      <c r="I370" s="1" t="s">
        <v>15</v>
      </c>
      <c r="J370" s="1">
        <v>7</v>
      </c>
      <c r="K370" s="1" t="s">
        <v>16</v>
      </c>
      <c r="L370" s="1">
        <v>4</v>
      </c>
      <c r="M370" s="1" t="s">
        <v>17</v>
      </c>
      <c r="N370" s="5">
        <f>IF(Tabulka1[[#This Row],[E-shop]]="ano",1,0)</f>
        <v>0</v>
      </c>
      <c r="O370" s="5">
        <f>IF(Tabulka1[[#This Row],[Reklamace]]="ano",1,0)</f>
        <v>1</v>
      </c>
    </row>
    <row r="371" spans="1:15" ht="15.75" customHeight="1" x14ac:dyDescent="0.3">
      <c r="A371" s="1">
        <v>821</v>
      </c>
      <c r="B371" s="2">
        <v>45997</v>
      </c>
      <c r="C371" s="1" t="s">
        <v>25</v>
      </c>
      <c r="D371" s="1" t="s">
        <v>24</v>
      </c>
      <c r="E371" s="1">
        <v>12</v>
      </c>
      <c r="F371" s="1">
        <v>7000</v>
      </c>
      <c r="G371" s="1">
        <v>84000</v>
      </c>
      <c r="H371" s="1">
        <v>20444</v>
      </c>
      <c r="I371" s="1" t="s">
        <v>16</v>
      </c>
      <c r="J371" s="1">
        <v>3</v>
      </c>
      <c r="K371" s="1" t="s">
        <v>15</v>
      </c>
      <c r="L371" s="1">
        <v>5</v>
      </c>
      <c r="M371" s="1" t="s">
        <v>17</v>
      </c>
      <c r="N371" s="5">
        <f>IF(Tabulka1[[#This Row],[E-shop]]="ano",1,0)</f>
        <v>1</v>
      </c>
      <c r="O371" s="5">
        <f>IF(Tabulka1[[#This Row],[Reklamace]]="ano",1,0)</f>
        <v>0</v>
      </c>
    </row>
    <row r="372" spans="1:15" ht="15.75" customHeight="1" x14ac:dyDescent="0.3">
      <c r="A372" s="1">
        <v>824</v>
      </c>
      <c r="B372" s="2">
        <v>45800</v>
      </c>
      <c r="C372" s="1" t="s">
        <v>23</v>
      </c>
      <c r="D372" s="1" t="s">
        <v>37</v>
      </c>
      <c r="E372" s="1">
        <v>12</v>
      </c>
      <c r="F372" s="1">
        <v>7000</v>
      </c>
      <c r="G372" s="1">
        <v>84000</v>
      </c>
      <c r="H372" s="1">
        <v>21037</v>
      </c>
      <c r="I372" s="1" t="s">
        <v>15</v>
      </c>
      <c r="J372" s="1">
        <v>4</v>
      </c>
      <c r="K372" s="1" t="s">
        <v>15</v>
      </c>
      <c r="L372" s="1">
        <v>7</v>
      </c>
      <c r="M372" s="1" t="s">
        <v>20</v>
      </c>
      <c r="N372" s="5">
        <f>IF(Tabulka1[[#This Row],[E-shop]]="ano",1,0)</f>
        <v>0</v>
      </c>
      <c r="O372" s="5">
        <f>IF(Tabulka1[[#This Row],[Reklamace]]="ano",1,0)</f>
        <v>0</v>
      </c>
    </row>
    <row r="373" spans="1:15" ht="15.75" customHeight="1" x14ac:dyDescent="0.3">
      <c r="A373" s="1">
        <v>828</v>
      </c>
      <c r="B373" s="2">
        <v>45813</v>
      </c>
      <c r="C373" s="1" t="s">
        <v>23</v>
      </c>
      <c r="D373" s="1" t="s">
        <v>37</v>
      </c>
      <c r="E373" s="1">
        <v>12</v>
      </c>
      <c r="F373" s="1">
        <v>7000</v>
      </c>
      <c r="G373" s="1">
        <v>84000</v>
      </c>
      <c r="H373" s="1">
        <v>25085</v>
      </c>
      <c r="I373" s="1" t="s">
        <v>15</v>
      </c>
      <c r="J373" s="1">
        <v>4</v>
      </c>
      <c r="K373" s="1" t="s">
        <v>15</v>
      </c>
      <c r="L373" s="1">
        <v>5</v>
      </c>
      <c r="M373" s="1" t="s">
        <v>20</v>
      </c>
      <c r="N373" s="5">
        <f>IF(Tabulka1[[#This Row],[E-shop]]="ano",1,0)</f>
        <v>0</v>
      </c>
      <c r="O373" s="5">
        <f>IF(Tabulka1[[#This Row],[Reklamace]]="ano",1,0)</f>
        <v>0</v>
      </c>
    </row>
    <row r="374" spans="1:15" ht="15.75" customHeight="1" x14ac:dyDescent="0.3">
      <c r="A374" s="1">
        <v>851</v>
      </c>
      <c r="B374" s="2">
        <v>45541</v>
      </c>
      <c r="C374" s="1" t="s">
        <v>18</v>
      </c>
      <c r="D374" s="1" t="s">
        <v>37</v>
      </c>
      <c r="E374" s="1">
        <v>12</v>
      </c>
      <c r="F374" s="1">
        <v>7000</v>
      </c>
      <c r="G374" s="1">
        <v>84000</v>
      </c>
      <c r="H374" s="1">
        <v>17845</v>
      </c>
      <c r="I374" s="1" t="s">
        <v>16</v>
      </c>
      <c r="J374" s="1">
        <v>4</v>
      </c>
      <c r="K374" s="1" t="s">
        <v>15</v>
      </c>
      <c r="L374" s="1">
        <v>7</v>
      </c>
      <c r="M374" s="1" t="s">
        <v>20</v>
      </c>
      <c r="N374" s="5">
        <f>IF(Tabulka1[[#This Row],[E-shop]]="ano",1,0)</f>
        <v>1</v>
      </c>
      <c r="O374" s="5">
        <f>IF(Tabulka1[[#This Row],[Reklamace]]="ano",1,0)</f>
        <v>0</v>
      </c>
    </row>
    <row r="375" spans="1:15" ht="15.75" customHeight="1" x14ac:dyDescent="0.3">
      <c r="A375" s="1">
        <v>853</v>
      </c>
      <c r="B375" s="2">
        <v>45922</v>
      </c>
      <c r="C375" s="1" t="s">
        <v>31</v>
      </c>
      <c r="D375" s="1" t="s">
        <v>42</v>
      </c>
      <c r="E375" s="1">
        <v>12</v>
      </c>
      <c r="F375" s="1">
        <v>7000</v>
      </c>
      <c r="G375" s="1">
        <v>84000</v>
      </c>
      <c r="H375" s="1">
        <v>24117</v>
      </c>
      <c r="I375" s="1" t="s">
        <v>15</v>
      </c>
      <c r="J375" s="1">
        <v>8</v>
      </c>
      <c r="K375" s="1" t="s">
        <v>16</v>
      </c>
      <c r="L375" s="1">
        <v>2</v>
      </c>
      <c r="M375" s="1" t="s">
        <v>20</v>
      </c>
      <c r="N375" s="5">
        <f>IF(Tabulka1[[#This Row],[E-shop]]="ano",1,0)</f>
        <v>0</v>
      </c>
      <c r="O375" s="5">
        <f>IF(Tabulka1[[#This Row],[Reklamace]]="ano",1,0)</f>
        <v>1</v>
      </c>
    </row>
    <row r="376" spans="1:15" ht="15.75" customHeight="1" x14ac:dyDescent="0.3">
      <c r="A376" s="1">
        <v>860</v>
      </c>
      <c r="B376" s="2">
        <v>45701</v>
      </c>
      <c r="C376" s="1" t="s">
        <v>18</v>
      </c>
      <c r="D376" s="1" t="s">
        <v>33</v>
      </c>
      <c r="E376" s="1">
        <v>14</v>
      </c>
      <c r="F376" s="1">
        <v>6000</v>
      </c>
      <c r="G376" s="1">
        <v>84000</v>
      </c>
      <c r="H376" s="1">
        <v>19230</v>
      </c>
      <c r="I376" s="1" t="s">
        <v>15</v>
      </c>
      <c r="J376" s="1">
        <v>6</v>
      </c>
      <c r="K376" s="1" t="s">
        <v>16</v>
      </c>
      <c r="L376" s="1">
        <v>3</v>
      </c>
      <c r="M376" s="1" t="s">
        <v>20</v>
      </c>
      <c r="N376" s="5">
        <f>IF(Tabulka1[[#This Row],[E-shop]]="ano",1,0)</f>
        <v>0</v>
      </c>
      <c r="O376" s="5">
        <f>IF(Tabulka1[[#This Row],[Reklamace]]="ano",1,0)</f>
        <v>1</v>
      </c>
    </row>
    <row r="377" spans="1:15" ht="15.75" customHeight="1" x14ac:dyDescent="0.3">
      <c r="A377" s="1">
        <v>894</v>
      </c>
      <c r="B377" s="2">
        <v>45528</v>
      </c>
      <c r="C377" s="1" t="s">
        <v>18</v>
      </c>
      <c r="D377" s="1" t="s">
        <v>40</v>
      </c>
      <c r="E377" s="1">
        <v>6</v>
      </c>
      <c r="F377" s="1">
        <v>14000</v>
      </c>
      <c r="G377" s="1">
        <v>84000</v>
      </c>
      <c r="H377" s="1">
        <v>22084</v>
      </c>
      <c r="I377" s="1" t="s">
        <v>16</v>
      </c>
      <c r="J377" s="1">
        <v>8</v>
      </c>
      <c r="K377" s="1" t="s">
        <v>15</v>
      </c>
      <c r="L377" s="1">
        <v>3</v>
      </c>
      <c r="M377" s="1" t="s">
        <v>20</v>
      </c>
      <c r="N377" s="5">
        <f>IF(Tabulka1[[#This Row],[E-shop]]="ano",1,0)</f>
        <v>1</v>
      </c>
      <c r="O377" s="5">
        <f>IF(Tabulka1[[#This Row],[Reklamace]]="ano",1,0)</f>
        <v>0</v>
      </c>
    </row>
    <row r="378" spans="1:15" ht="15.75" customHeight="1" x14ac:dyDescent="0.3">
      <c r="A378" s="1">
        <v>937</v>
      </c>
      <c r="B378" s="2">
        <v>45667</v>
      </c>
      <c r="C378" s="1" t="s">
        <v>31</v>
      </c>
      <c r="D378" s="1" t="s">
        <v>24</v>
      </c>
      <c r="E378" s="1">
        <v>12</v>
      </c>
      <c r="F378" s="1">
        <v>7000</v>
      </c>
      <c r="G378" s="1">
        <v>84000</v>
      </c>
      <c r="H378" s="1">
        <v>18435</v>
      </c>
      <c r="I378" s="1" t="s">
        <v>15</v>
      </c>
      <c r="J378" s="1">
        <v>9</v>
      </c>
      <c r="K378" s="1" t="s">
        <v>15</v>
      </c>
      <c r="L378" s="1">
        <v>1</v>
      </c>
      <c r="M378" s="1" t="s">
        <v>17</v>
      </c>
      <c r="N378" s="5">
        <f>IF(Tabulka1[[#This Row],[E-shop]]="ano",1,0)</f>
        <v>0</v>
      </c>
      <c r="O378" s="5">
        <f>IF(Tabulka1[[#This Row],[Reklamace]]="ano",1,0)</f>
        <v>0</v>
      </c>
    </row>
    <row r="379" spans="1:15" ht="15.75" customHeight="1" x14ac:dyDescent="0.3">
      <c r="A379" s="1">
        <v>958</v>
      </c>
      <c r="B379" s="2">
        <v>45901</v>
      </c>
      <c r="C379" s="1" t="s">
        <v>13</v>
      </c>
      <c r="D379" s="1" t="s">
        <v>24</v>
      </c>
      <c r="E379" s="1">
        <v>12</v>
      </c>
      <c r="F379" s="1">
        <v>7000</v>
      </c>
      <c r="G379" s="1">
        <v>84000</v>
      </c>
      <c r="H379" s="1">
        <v>20800</v>
      </c>
      <c r="I379" s="1" t="s">
        <v>15</v>
      </c>
      <c r="J379" s="1">
        <v>5</v>
      </c>
      <c r="K379" s="1" t="s">
        <v>16</v>
      </c>
      <c r="L379" s="1">
        <v>4</v>
      </c>
      <c r="M379" s="1" t="s">
        <v>17</v>
      </c>
      <c r="N379" s="5">
        <f>IF(Tabulka1[[#This Row],[E-shop]]="ano",1,0)</f>
        <v>0</v>
      </c>
      <c r="O379" s="5">
        <f>IF(Tabulka1[[#This Row],[Reklamace]]="ano",1,0)</f>
        <v>1</v>
      </c>
    </row>
    <row r="380" spans="1:15" ht="15.75" customHeight="1" x14ac:dyDescent="0.3">
      <c r="A380" s="1">
        <v>968</v>
      </c>
      <c r="B380" s="2">
        <v>45326</v>
      </c>
      <c r="C380" s="1" t="s">
        <v>36</v>
      </c>
      <c r="D380" s="1" t="s">
        <v>40</v>
      </c>
      <c r="E380" s="1">
        <v>6</v>
      </c>
      <c r="F380" s="1">
        <v>14000</v>
      </c>
      <c r="G380" s="1">
        <v>84000</v>
      </c>
      <c r="H380" s="1">
        <v>21571</v>
      </c>
      <c r="I380" s="1" t="s">
        <v>15</v>
      </c>
      <c r="J380" s="1">
        <v>7</v>
      </c>
      <c r="K380" s="1" t="s">
        <v>16</v>
      </c>
      <c r="L380" s="1">
        <v>3</v>
      </c>
      <c r="M380" s="1" t="s">
        <v>20</v>
      </c>
      <c r="N380" s="5">
        <f>IF(Tabulka1[[#This Row],[E-shop]]="ano",1,0)</f>
        <v>0</v>
      </c>
      <c r="O380" s="5">
        <f>IF(Tabulka1[[#This Row],[Reklamace]]="ano",1,0)</f>
        <v>1</v>
      </c>
    </row>
    <row r="381" spans="1:15" ht="15.75" customHeight="1" x14ac:dyDescent="0.3">
      <c r="A381" s="1">
        <v>999</v>
      </c>
      <c r="B381" s="2">
        <v>45376</v>
      </c>
      <c r="C381" s="1" t="s">
        <v>31</v>
      </c>
      <c r="D381" s="1" t="s">
        <v>35</v>
      </c>
      <c r="E381" s="1">
        <v>7</v>
      </c>
      <c r="F381" s="1">
        <v>12000</v>
      </c>
      <c r="G381" s="1">
        <v>84000</v>
      </c>
      <c r="H381" s="1">
        <v>20387</v>
      </c>
      <c r="I381" s="1" t="s">
        <v>15</v>
      </c>
      <c r="J381" s="1">
        <v>5</v>
      </c>
      <c r="K381" s="1" t="s">
        <v>15</v>
      </c>
      <c r="L381" s="1">
        <v>5</v>
      </c>
      <c r="M381" s="1" t="s">
        <v>20</v>
      </c>
      <c r="N381" s="5">
        <f>IF(Tabulka1[[#This Row],[E-shop]]="ano",1,0)</f>
        <v>0</v>
      </c>
      <c r="O381" s="5">
        <f>IF(Tabulka1[[#This Row],[Reklamace]]="ano",1,0)</f>
        <v>0</v>
      </c>
    </row>
    <row r="382" spans="1:15" ht="15.75" customHeight="1" x14ac:dyDescent="0.3">
      <c r="A382" s="1">
        <v>62</v>
      </c>
      <c r="B382" s="2">
        <v>45574</v>
      </c>
      <c r="C382" s="1" t="s">
        <v>36</v>
      </c>
      <c r="D382" s="1" t="s">
        <v>38</v>
      </c>
      <c r="E382" s="1">
        <v>9</v>
      </c>
      <c r="F382" s="1">
        <v>9000</v>
      </c>
      <c r="G382" s="1">
        <v>81000</v>
      </c>
      <c r="H382" s="1">
        <v>18464</v>
      </c>
      <c r="I382" s="1" t="s">
        <v>15</v>
      </c>
      <c r="J382" s="1">
        <v>4</v>
      </c>
      <c r="K382" s="1" t="s">
        <v>15</v>
      </c>
      <c r="L382" s="1">
        <v>6</v>
      </c>
      <c r="M382" s="1" t="s">
        <v>20</v>
      </c>
      <c r="N382" s="5">
        <f>IF(Tabulka1[[#This Row],[E-shop]]="ano",1,0)</f>
        <v>0</v>
      </c>
      <c r="O382" s="5">
        <f>IF(Tabulka1[[#This Row],[Reklamace]]="ano",1,0)</f>
        <v>0</v>
      </c>
    </row>
    <row r="383" spans="1:15" ht="15.75" customHeight="1" x14ac:dyDescent="0.3">
      <c r="A383" s="1">
        <v>457</v>
      </c>
      <c r="B383" s="2">
        <v>45303</v>
      </c>
      <c r="C383" s="1" t="s">
        <v>13</v>
      </c>
      <c r="D383" s="1" t="s">
        <v>19</v>
      </c>
      <c r="E383" s="1">
        <v>9</v>
      </c>
      <c r="F383" s="1">
        <v>9000</v>
      </c>
      <c r="G383" s="1">
        <v>81000</v>
      </c>
      <c r="H383" s="1">
        <v>22517</v>
      </c>
      <c r="I383" s="1" t="s">
        <v>15</v>
      </c>
      <c r="J383" s="1">
        <v>7</v>
      </c>
      <c r="K383" s="1" t="s">
        <v>16</v>
      </c>
      <c r="L383" s="1">
        <v>2</v>
      </c>
      <c r="M383" s="1" t="s">
        <v>20</v>
      </c>
      <c r="N383" s="5">
        <f>IF(Tabulka1[[#This Row],[E-shop]]="ano",1,0)</f>
        <v>0</v>
      </c>
      <c r="O383" s="5">
        <f>IF(Tabulka1[[#This Row],[Reklamace]]="ano",1,0)</f>
        <v>1</v>
      </c>
    </row>
    <row r="384" spans="1:15" ht="15.75" customHeight="1" x14ac:dyDescent="0.3">
      <c r="A384" s="1">
        <v>591</v>
      </c>
      <c r="B384" s="2">
        <v>45661</v>
      </c>
      <c r="C384" s="1" t="s">
        <v>13</v>
      </c>
      <c r="D384" s="1" t="s">
        <v>19</v>
      </c>
      <c r="E384" s="1">
        <v>9</v>
      </c>
      <c r="F384" s="1">
        <v>9000</v>
      </c>
      <c r="G384" s="1">
        <v>81000</v>
      </c>
      <c r="H384" s="1">
        <v>12348</v>
      </c>
      <c r="I384" s="1" t="s">
        <v>15</v>
      </c>
      <c r="J384" s="1">
        <v>3</v>
      </c>
      <c r="K384" s="1" t="s">
        <v>15</v>
      </c>
      <c r="L384" s="1">
        <v>6</v>
      </c>
      <c r="M384" s="1" t="s">
        <v>17</v>
      </c>
      <c r="N384" s="5">
        <f>IF(Tabulka1[[#This Row],[E-shop]]="ano",1,0)</f>
        <v>0</v>
      </c>
      <c r="O384" s="5">
        <f>IF(Tabulka1[[#This Row],[Reklamace]]="ano",1,0)</f>
        <v>0</v>
      </c>
    </row>
    <row r="385" spans="1:15" ht="15.75" customHeight="1" x14ac:dyDescent="0.3">
      <c r="A385" s="1">
        <v>709</v>
      </c>
      <c r="B385" s="2">
        <v>45916</v>
      </c>
      <c r="C385" s="1" t="s">
        <v>18</v>
      </c>
      <c r="D385" s="1" t="s">
        <v>38</v>
      </c>
      <c r="E385" s="1">
        <v>9</v>
      </c>
      <c r="F385" s="1">
        <v>9000</v>
      </c>
      <c r="G385" s="1">
        <v>81000</v>
      </c>
      <c r="H385" s="1">
        <v>20506</v>
      </c>
      <c r="I385" s="1" t="s">
        <v>16</v>
      </c>
      <c r="J385" s="1">
        <v>4</v>
      </c>
      <c r="K385" s="1" t="s">
        <v>16</v>
      </c>
      <c r="L385" s="1">
        <v>5</v>
      </c>
      <c r="M385" s="1" t="s">
        <v>20</v>
      </c>
      <c r="N385" s="5">
        <f>IF(Tabulka1[[#This Row],[E-shop]]="ano",1,0)</f>
        <v>1</v>
      </c>
      <c r="O385" s="5">
        <f>IF(Tabulka1[[#This Row],[Reklamace]]="ano",1,0)</f>
        <v>1</v>
      </c>
    </row>
    <row r="386" spans="1:15" ht="15.75" customHeight="1" x14ac:dyDescent="0.3">
      <c r="A386" s="1">
        <v>82</v>
      </c>
      <c r="B386" s="2">
        <v>45910</v>
      </c>
      <c r="C386" s="1" t="s">
        <v>13</v>
      </c>
      <c r="D386" s="1" t="s">
        <v>30</v>
      </c>
      <c r="E386" s="1">
        <v>10</v>
      </c>
      <c r="F386" s="1">
        <v>8000</v>
      </c>
      <c r="G386" s="1">
        <v>80000</v>
      </c>
      <c r="H386" s="1">
        <v>22545</v>
      </c>
      <c r="I386" s="1" t="s">
        <v>15</v>
      </c>
      <c r="J386" s="1">
        <v>3</v>
      </c>
      <c r="K386" s="1" t="s">
        <v>15</v>
      </c>
      <c r="L386" s="1">
        <v>6</v>
      </c>
      <c r="M386" s="1" t="s">
        <v>20</v>
      </c>
      <c r="N386" s="5">
        <f>IF(Tabulka1[[#This Row],[E-shop]]="ano",1,0)</f>
        <v>0</v>
      </c>
      <c r="O386" s="5">
        <f>IF(Tabulka1[[#This Row],[Reklamace]]="ano",1,0)</f>
        <v>0</v>
      </c>
    </row>
    <row r="387" spans="1:15" ht="15.75" customHeight="1" x14ac:dyDescent="0.3">
      <c r="A387" s="1">
        <v>145</v>
      </c>
      <c r="B387" s="2">
        <v>45900</v>
      </c>
      <c r="C387" s="1" t="s">
        <v>13</v>
      </c>
      <c r="D387" s="1" t="s">
        <v>30</v>
      </c>
      <c r="E387" s="1">
        <v>10</v>
      </c>
      <c r="F387" s="1">
        <v>8000</v>
      </c>
      <c r="G387" s="1">
        <v>80000</v>
      </c>
      <c r="H387" s="1">
        <v>12661</v>
      </c>
      <c r="I387" s="1" t="s">
        <v>15</v>
      </c>
      <c r="J387" s="1">
        <v>7</v>
      </c>
      <c r="K387" s="1" t="s">
        <v>16</v>
      </c>
      <c r="L387" s="1">
        <v>3</v>
      </c>
      <c r="M387" s="1" t="s">
        <v>20</v>
      </c>
      <c r="N387" s="5">
        <f>IF(Tabulka1[[#This Row],[E-shop]]="ano",1,0)</f>
        <v>0</v>
      </c>
      <c r="O387" s="5">
        <f>IF(Tabulka1[[#This Row],[Reklamace]]="ano",1,0)</f>
        <v>1</v>
      </c>
    </row>
    <row r="388" spans="1:15" ht="15.75" customHeight="1" x14ac:dyDescent="0.3">
      <c r="A388" s="1">
        <v>278</v>
      </c>
      <c r="B388" s="2">
        <v>45795</v>
      </c>
      <c r="C388" s="1" t="s">
        <v>36</v>
      </c>
      <c r="D388" s="1" t="s">
        <v>29</v>
      </c>
      <c r="E388" s="1">
        <v>4</v>
      </c>
      <c r="F388" s="1">
        <v>20000</v>
      </c>
      <c r="G388" s="1">
        <v>80000</v>
      </c>
      <c r="H388" s="1">
        <v>13325</v>
      </c>
      <c r="I388" s="1" t="s">
        <v>16</v>
      </c>
      <c r="J388" s="1">
        <v>2</v>
      </c>
      <c r="K388" s="1" t="s">
        <v>15</v>
      </c>
      <c r="L388" s="1">
        <v>9</v>
      </c>
      <c r="M388" s="1" t="s">
        <v>17</v>
      </c>
      <c r="N388" s="5">
        <f>IF(Tabulka1[[#This Row],[E-shop]]="ano",1,0)</f>
        <v>1</v>
      </c>
      <c r="O388" s="5">
        <f>IF(Tabulka1[[#This Row],[Reklamace]]="ano",1,0)</f>
        <v>0</v>
      </c>
    </row>
    <row r="389" spans="1:15" ht="15.75" customHeight="1" x14ac:dyDescent="0.3">
      <c r="A389" s="1">
        <v>294</v>
      </c>
      <c r="B389" s="2">
        <v>45802</v>
      </c>
      <c r="C389" s="1" t="s">
        <v>13</v>
      </c>
      <c r="D389" s="1" t="s">
        <v>30</v>
      </c>
      <c r="E389" s="1">
        <v>10</v>
      </c>
      <c r="F389" s="1">
        <v>8000</v>
      </c>
      <c r="G389" s="1">
        <v>80000</v>
      </c>
      <c r="H389" s="1">
        <v>22139</v>
      </c>
      <c r="I389" s="1" t="s">
        <v>15</v>
      </c>
      <c r="J389" s="1">
        <v>8</v>
      </c>
      <c r="K389" s="1" t="s">
        <v>16</v>
      </c>
      <c r="L389" s="1">
        <v>3</v>
      </c>
      <c r="M389" s="1" t="s">
        <v>20</v>
      </c>
      <c r="N389" s="5">
        <f>IF(Tabulka1[[#This Row],[E-shop]]="ano",1,0)</f>
        <v>0</v>
      </c>
      <c r="O389" s="5">
        <f>IF(Tabulka1[[#This Row],[Reklamace]]="ano",1,0)</f>
        <v>1</v>
      </c>
    </row>
    <row r="390" spans="1:15" ht="15.75" customHeight="1" x14ac:dyDescent="0.3">
      <c r="A390" s="1">
        <v>338</v>
      </c>
      <c r="B390" s="2">
        <v>45773</v>
      </c>
      <c r="C390" s="1" t="s">
        <v>36</v>
      </c>
      <c r="D390" s="1" t="s">
        <v>44</v>
      </c>
      <c r="E390" s="1">
        <v>8</v>
      </c>
      <c r="F390" s="1">
        <v>10000</v>
      </c>
      <c r="G390" s="1">
        <v>80000</v>
      </c>
      <c r="H390" s="1">
        <v>17219</v>
      </c>
      <c r="I390" s="1" t="s">
        <v>15</v>
      </c>
      <c r="J390" s="1">
        <v>5</v>
      </c>
      <c r="K390" s="1" t="s">
        <v>15</v>
      </c>
      <c r="L390" s="1">
        <v>6</v>
      </c>
      <c r="M390" s="1" t="s">
        <v>20</v>
      </c>
      <c r="N390" s="5">
        <f>IF(Tabulka1[[#This Row],[E-shop]]="ano",1,0)</f>
        <v>0</v>
      </c>
      <c r="O390" s="5">
        <f>IF(Tabulka1[[#This Row],[Reklamace]]="ano",1,0)</f>
        <v>0</v>
      </c>
    </row>
    <row r="391" spans="1:15" ht="15.75" customHeight="1" x14ac:dyDescent="0.3">
      <c r="A391" s="1">
        <v>380</v>
      </c>
      <c r="B391" s="2">
        <v>45874</v>
      </c>
      <c r="C391" s="1" t="s">
        <v>25</v>
      </c>
      <c r="D391" s="1" t="s">
        <v>44</v>
      </c>
      <c r="E391" s="1">
        <v>8</v>
      </c>
      <c r="F391" s="1">
        <v>10000</v>
      </c>
      <c r="G391" s="1">
        <v>80000</v>
      </c>
      <c r="H391" s="1">
        <v>21341</v>
      </c>
      <c r="I391" s="1" t="s">
        <v>16</v>
      </c>
      <c r="J391" s="1">
        <v>4</v>
      </c>
      <c r="K391" s="1" t="s">
        <v>16</v>
      </c>
      <c r="L391" s="1">
        <v>6</v>
      </c>
      <c r="M391" s="1" t="s">
        <v>17</v>
      </c>
      <c r="N391" s="5">
        <f>IF(Tabulka1[[#This Row],[E-shop]]="ano",1,0)</f>
        <v>1</v>
      </c>
      <c r="O391" s="5">
        <f>IF(Tabulka1[[#This Row],[Reklamace]]="ano",1,0)</f>
        <v>1</v>
      </c>
    </row>
    <row r="392" spans="1:15" ht="15.75" customHeight="1" x14ac:dyDescent="0.3">
      <c r="A392" s="1">
        <v>442</v>
      </c>
      <c r="B392" s="2">
        <v>45821</v>
      </c>
      <c r="C392" s="1" t="s">
        <v>25</v>
      </c>
      <c r="D392" s="1" t="s">
        <v>29</v>
      </c>
      <c r="E392" s="1">
        <v>4</v>
      </c>
      <c r="F392" s="1">
        <v>20000</v>
      </c>
      <c r="G392" s="1">
        <v>80000</v>
      </c>
      <c r="H392" s="1">
        <v>12573</v>
      </c>
      <c r="I392" s="1" t="s">
        <v>15</v>
      </c>
      <c r="J392" s="1">
        <v>3</v>
      </c>
      <c r="K392" s="1" t="s">
        <v>15</v>
      </c>
      <c r="L392" s="1">
        <v>7</v>
      </c>
      <c r="M392" s="1" t="s">
        <v>20</v>
      </c>
      <c r="N392" s="5">
        <f>IF(Tabulka1[[#This Row],[E-shop]]="ano",1,0)</f>
        <v>0</v>
      </c>
      <c r="O392" s="5">
        <f>IF(Tabulka1[[#This Row],[Reklamace]]="ano",1,0)</f>
        <v>0</v>
      </c>
    </row>
    <row r="393" spans="1:15" ht="15.75" customHeight="1" x14ac:dyDescent="0.3">
      <c r="A393" s="1">
        <v>623</v>
      </c>
      <c r="B393" s="2">
        <v>45909</v>
      </c>
      <c r="C393" s="1" t="s">
        <v>31</v>
      </c>
      <c r="D393" s="1" t="s">
        <v>29</v>
      </c>
      <c r="E393" s="1">
        <v>4</v>
      </c>
      <c r="F393" s="1">
        <v>20000</v>
      </c>
      <c r="G393" s="1">
        <v>80000</v>
      </c>
      <c r="H393" s="1">
        <v>23921</v>
      </c>
      <c r="I393" s="1" t="s">
        <v>15</v>
      </c>
      <c r="J393" s="1">
        <v>6</v>
      </c>
      <c r="K393" s="1" t="s">
        <v>16</v>
      </c>
      <c r="L393" s="1">
        <v>2</v>
      </c>
      <c r="M393" s="1" t="s">
        <v>20</v>
      </c>
      <c r="N393" s="5">
        <f>IF(Tabulka1[[#This Row],[E-shop]]="ano",1,0)</f>
        <v>0</v>
      </c>
      <c r="O393" s="5">
        <f>IF(Tabulka1[[#This Row],[Reklamace]]="ano",1,0)</f>
        <v>1</v>
      </c>
    </row>
    <row r="394" spans="1:15" ht="15.75" customHeight="1" x14ac:dyDescent="0.3">
      <c r="A394" s="1">
        <v>645</v>
      </c>
      <c r="B394" s="2">
        <v>45556</v>
      </c>
      <c r="C394" s="1" t="s">
        <v>36</v>
      </c>
      <c r="D394" s="1" t="s">
        <v>30</v>
      </c>
      <c r="E394" s="1">
        <v>10</v>
      </c>
      <c r="F394" s="1">
        <v>8000</v>
      </c>
      <c r="G394" s="1">
        <v>80000</v>
      </c>
      <c r="H394" s="1">
        <v>19971</v>
      </c>
      <c r="I394" s="1" t="s">
        <v>15</v>
      </c>
      <c r="J394" s="1">
        <v>5</v>
      </c>
      <c r="K394" s="1" t="s">
        <v>15</v>
      </c>
      <c r="L394" s="1">
        <v>3</v>
      </c>
      <c r="M394" s="1" t="s">
        <v>20</v>
      </c>
      <c r="N394" s="5">
        <f>IF(Tabulka1[[#This Row],[E-shop]]="ano",1,0)</f>
        <v>0</v>
      </c>
      <c r="O394" s="5">
        <f>IF(Tabulka1[[#This Row],[Reklamace]]="ano",1,0)</f>
        <v>0</v>
      </c>
    </row>
    <row r="395" spans="1:15" ht="15.75" customHeight="1" x14ac:dyDescent="0.3">
      <c r="A395" s="1">
        <v>670</v>
      </c>
      <c r="B395" s="2">
        <v>45394</v>
      </c>
      <c r="C395" s="1" t="s">
        <v>13</v>
      </c>
      <c r="D395" s="1" t="s">
        <v>32</v>
      </c>
      <c r="E395" s="1">
        <v>8</v>
      </c>
      <c r="F395" s="1">
        <v>10000</v>
      </c>
      <c r="G395" s="1">
        <v>80000</v>
      </c>
      <c r="H395" s="1">
        <v>17631</v>
      </c>
      <c r="I395" s="1" t="s">
        <v>16</v>
      </c>
      <c r="J395" s="1">
        <v>8</v>
      </c>
      <c r="K395" s="1" t="s">
        <v>16</v>
      </c>
      <c r="L395" s="1">
        <v>1</v>
      </c>
      <c r="M395" s="1" t="s">
        <v>17</v>
      </c>
      <c r="N395" s="5">
        <f>IF(Tabulka1[[#This Row],[E-shop]]="ano",1,0)</f>
        <v>1</v>
      </c>
      <c r="O395" s="5">
        <f>IF(Tabulka1[[#This Row],[Reklamace]]="ano",1,0)</f>
        <v>1</v>
      </c>
    </row>
    <row r="396" spans="1:15" ht="15.75" customHeight="1" x14ac:dyDescent="0.3">
      <c r="A396" s="1">
        <v>940</v>
      </c>
      <c r="B396" s="2">
        <v>45728</v>
      </c>
      <c r="C396" s="1" t="s">
        <v>25</v>
      </c>
      <c r="D396" s="1" t="s">
        <v>30</v>
      </c>
      <c r="E396" s="1">
        <v>10</v>
      </c>
      <c r="F396" s="1">
        <v>8000</v>
      </c>
      <c r="G396" s="1">
        <v>80000</v>
      </c>
      <c r="H396" s="1">
        <v>13985</v>
      </c>
      <c r="I396" s="1" t="s">
        <v>16</v>
      </c>
      <c r="J396" s="1">
        <v>6</v>
      </c>
      <c r="K396" s="1" t="s">
        <v>16</v>
      </c>
      <c r="L396" s="1">
        <v>4</v>
      </c>
      <c r="M396" s="1" t="s">
        <v>20</v>
      </c>
      <c r="N396" s="5">
        <f>IF(Tabulka1[[#This Row],[E-shop]]="ano",1,0)</f>
        <v>1</v>
      </c>
      <c r="O396" s="5">
        <f>IF(Tabulka1[[#This Row],[Reklamace]]="ano",1,0)</f>
        <v>1</v>
      </c>
    </row>
    <row r="397" spans="1:15" ht="15.75" customHeight="1" x14ac:dyDescent="0.3">
      <c r="A397" s="1">
        <v>979</v>
      </c>
      <c r="B397" s="2">
        <v>45431</v>
      </c>
      <c r="C397" s="1" t="s">
        <v>31</v>
      </c>
      <c r="D397" s="1" t="s">
        <v>44</v>
      </c>
      <c r="E397" s="1">
        <v>8</v>
      </c>
      <c r="F397" s="1">
        <v>10000</v>
      </c>
      <c r="G397" s="1">
        <v>80000</v>
      </c>
      <c r="H397" s="1">
        <v>16323</v>
      </c>
      <c r="I397" s="1" t="s">
        <v>15</v>
      </c>
      <c r="J397" s="1">
        <v>6</v>
      </c>
      <c r="K397" s="1" t="s">
        <v>16</v>
      </c>
      <c r="L397" s="1">
        <v>3</v>
      </c>
      <c r="M397" s="1" t="s">
        <v>17</v>
      </c>
      <c r="N397" s="5">
        <f>IF(Tabulka1[[#This Row],[E-shop]]="ano",1,0)</f>
        <v>0</v>
      </c>
      <c r="O397" s="5">
        <f>IF(Tabulka1[[#This Row],[Reklamace]]="ano",1,0)</f>
        <v>1</v>
      </c>
    </row>
    <row r="398" spans="1:15" ht="15.75" customHeight="1" x14ac:dyDescent="0.3">
      <c r="A398" s="1">
        <v>139</v>
      </c>
      <c r="B398" s="2">
        <v>45458</v>
      </c>
      <c r="C398" s="1" t="s">
        <v>25</v>
      </c>
      <c r="D398" s="1" t="s">
        <v>33</v>
      </c>
      <c r="E398" s="1">
        <v>13</v>
      </c>
      <c r="F398" s="1">
        <v>6000</v>
      </c>
      <c r="G398" s="1">
        <v>78000</v>
      </c>
      <c r="H398" s="1">
        <v>15087</v>
      </c>
      <c r="I398" s="1" t="s">
        <v>16</v>
      </c>
      <c r="J398" s="1">
        <v>6</v>
      </c>
      <c r="K398" s="1" t="s">
        <v>16</v>
      </c>
      <c r="L398" s="1">
        <v>2</v>
      </c>
      <c r="M398" s="1" t="s">
        <v>20</v>
      </c>
      <c r="N398" s="5">
        <f>IF(Tabulka1[[#This Row],[E-shop]]="ano",1,0)</f>
        <v>1</v>
      </c>
      <c r="O398" s="5">
        <f>IF(Tabulka1[[#This Row],[Reklamace]]="ano",1,0)</f>
        <v>1</v>
      </c>
    </row>
    <row r="399" spans="1:15" ht="15.75" customHeight="1" x14ac:dyDescent="0.3">
      <c r="A399" s="1">
        <v>135</v>
      </c>
      <c r="B399" s="2">
        <v>45657</v>
      </c>
      <c r="C399" s="1" t="s">
        <v>25</v>
      </c>
      <c r="D399" s="1" t="s">
        <v>37</v>
      </c>
      <c r="E399" s="1">
        <v>11</v>
      </c>
      <c r="F399" s="1">
        <v>7000</v>
      </c>
      <c r="G399" s="1">
        <v>77000</v>
      </c>
      <c r="H399" s="1">
        <v>13017</v>
      </c>
      <c r="I399" s="1" t="s">
        <v>16</v>
      </c>
      <c r="J399" s="1">
        <v>8</v>
      </c>
      <c r="K399" s="1" t="s">
        <v>15</v>
      </c>
      <c r="L399" s="1">
        <v>3</v>
      </c>
      <c r="M399" s="1" t="s">
        <v>20</v>
      </c>
      <c r="N399" s="5">
        <f>IF(Tabulka1[[#This Row],[E-shop]]="ano",1,0)</f>
        <v>1</v>
      </c>
      <c r="O399" s="5">
        <f>IF(Tabulka1[[#This Row],[Reklamace]]="ano",1,0)</f>
        <v>0</v>
      </c>
    </row>
    <row r="400" spans="1:15" ht="15.75" customHeight="1" x14ac:dyDescent="0.3">
      <c r="A400" s="1">
        <v>434</v>
      </c>
      <c r="B400" s="2">
        <v>45985</v>
      </c>
      <c r="C400" s="1" t="s">
        <v>23</v>
      </c>
      <c r="D400" s="1" t="s">
        <v>42</v>
      </c>
      <c r="E400" s="1">
        <v>11</v>
      </c>
      <c r="F400" s="1">
        <v>7000</v>
      </c>
      <c r="G400" s="1">
        <v>77000</v>
      </c>
      <c r="H400" s="1">
        <v>16157</v>
      </c>
      <c r="I400" s="1" t="s">
        <v>15</v>
      </c>
      <c r="J400" s="1">
        <v>3</v>
      </c>
      <c r="K400" s="1" t="s">
        <v>15</v>
      </c>
      <c r="L400" s="1">
        <v>8</v>
      </c>
      <c r="M400" s="1" t="s">
        <v>20</v>
      </c>
      <c r="N400" s="5">
        <f>IF(Tabulka1[[#This Row],[E-shop]]="ano",1,0)</f>
        <v>0</v>
      </c>
      <c r="O400" s="5">
        <f>IF(Tabulka1[[#This Row],[Reklamace]]="ano",1,0)</f>
        <v>0</v>
      </c>
    </row>
    <row r="401" spans="1:15" ht="15.75" customHeight="1" x14ac:dyDescent="0.3">
      <c r="A401" s="1">
        <v>439</v>
      </c>
      <c r="B401" s="2">
        <v>45849</v>
      </c>
      <c r="C401" s="1" t="s">
        <v>23</v>
      </c>
      <c r="D401" s="1" t="s">
        <v>24</v>
      </c>
      <c r="E401" s="1">
        <v>11</v>
      </c>
      <c r="F401" s="1">
        <v>7000</v>
      </c>
      <c r="G401" s="1">
        <v>77000</v>
      </c>
      <c r="H401" s="1">
        <v>15754</v>
      </c>
      <c r="I401" s="1" t="s">
        <v>15</v>
      </c>
      <c r="J401" s="1">
        <v>7</v>
      </c>
      <c r="K401" s="1" t="s">
        <v>16</v>
      </c>
      <c r="L401" s="1">
        <v>4</v>
      </c>
      <c r="M401" s="1" t="s">
        <v>20</v>
      </c>
      <c r="N401" s="5">
        <f>IF(Tabulka1[[#This Row],[E-shop]]="ano",1,0)</f>
        <v>0</v>
      </c>
      <c r="O401" s="5">
        <f>IF(Tabulka1[[#This Row],[Reklamace]]="ano",1,0)</f>
        <v>1</v>
      </c>
    </row>
    <row r="402" spans="1:15" ht="15.75" customHeight="1" x14ac:dyDescent="0.3">
      <c r="A402" s="1">
        <v>535</v>
      </c>
      <c r="B402" s="2">
        <v>45341</v>
      </c>
      <c r="C402" s="1" t="s">
        <v>13</v>
      </c>
      <c r="D402" s="1" t="s">
        <v>42</v>
      </c>
      <c r="E402" s="1">
        <v>11</v>
      </c>
      <c r="F402" s="1">
        <v>7000</v>
      </c>
      <c r="G402" s="1">
        <v>77000</v>
      </c>
      <c r="H402" s="1">
        <v>16443</v>
      </c>
      <c r="I402" s="1" t="s">
        <v>16</v>
      </c>
      <c r="J402" s="1">
        <v>8</v>
      </c>
      <c r="K402" s="1" t="s">
        <v>16</v>
      </c>
      <c r="L402" s="1">
        <v>1</v>
      </c>
      <c r="M402" s="1" t="s">
        <v>17</v>
      </c>
      <c r="N402" s="5">
        <f>IF(Tabulka1[[#This Row],[E-shop]]="ano",1,0)</f>
        <v>1</v>
      </c>
      <c r="O402" s="5">
        <f>IF(Tabulka1[[#This Row],[Reklamace]]="ano",1,0)</f>
        <v>1</v>
      </c>
    </row>
    <row r="403" spans="1:15" ht="15.75" customHeight="1" x14ac:dyDescent="0.3">
      <c r="A403" s="1">
        <v>578</v>
      </c>
      <c r="B403" s="2">
        <v>45342</v>
      </c>
      <c r="C403" s="1" t="s">
        <v>36</v>
      </c>
      <c r="D403" s="1" t="s">
        <v>24</v>
      </c>
      <c r="E403" s="1">
        <v>11</v>
      </c>
      <c r="F403" s="1">
        <v>7000</v>
      </c>
      <c r="G403" s="1">
        <v>77000</v>
      </c>
      <c r="H403" s="1">
        <v>16813</v>
      </c>
      <c r="I403" s="1" t="s">
        <v>15</v>
      </c>
      <c r="J403" s="1">
        <v>7</v>
      </c>
      <c r="K403" s="1" t="s">
        <v>15</v>
      </c>
      <c r="L403" s="1">
        <v>3</v>
      </c>
      <c r="M403" s="1" t="s">
        <v>20</v>
      </c>
      <c r="N403" s="5">
        <f>IF(Tabulka1[[#This Row],[E-shop]]="ano",1,0)</f>
        <v>0</v>
      </c>
      <c r="O403" s="5">
        <f>IF(Tabulka1[[#This Row],[Reklamace]]="ano",1,0)</f>
        <v>0</v>
      </c>
    </row>
    <row r="404" spans="1:15" ht="15.75" customHeight="1" x14ac:dyDescent="0.3">
      <c r="A404" s="1">
        <v>745</v>
      </c>
      <c r="B404" s="2">
        <v>45571</v>
      </c>
      <c r="C404" s="1" t="s">
        <v>21</v>
      </c>
      <c r="D404" s="1" t="s">
        <v>42</v>
      </c>
      <c r="E404" s="1">
        <v>11</v>
      </c>
      <c r="F404" s="1">
        <v>7000</v>
      </c>
      <c r="G404" s="1">
        <v>77000</v>
      </c>
      <c r="H404" s="1">
        <v>11603</v>
      </c>
      <c r="I404" s="1" t="s">
        <v>15</v>
      </c>
      <c r="J404" s="1">
        <v>4</v>
      </c>
      <c r="K404" s="1" t="s">
        <v>15</v>
      </c>
      <c r="L404" s="1">
        <v>6</v>
      </c>
      <c r="M404" s="1" t="s">
        <v>20</v>
      </c>
      <c r="N404" s="5">
        <f>IF(Tabulka1[[#This Row],[E-shop]]="ano",1,0)</f>
        <v>0</v>
      </c>
      <c r="O404" s="5">
        <f>IF(Tabulka1[[#This Row],[Reklamace]]="ano",1,0)</f>
        <v>0</v>
      </c>
    </row>
    <row r="405" spans="1:15" ht="15.75" customHeight="1" x14ac:dyDescent="0.3">
      <c r="A405" s="1">
        <v>760</v>
      </c>
      <c r="B405" s="2">
        <v>45492</v>
      </c>
      <c r="C405" s="1" t="s">
        <v>21</v>
      </c>
      <c r="D405" s="1" t="s">
        <v>42</v>
      </c>
      <c r="E405" s="1">
        <v>11</v>
      </c>
      <c r="F405" s="1">
        <v>7000</v>
      </c>
      <c r="G405" s="1">
        <v>77000</v>
      </c>
      <c r="H405" s="1">
        <v>14266</v>
      </c>
      <c r="I405" s="1" t="s">
        <v>15</v>
      </c>
      <c r="J405" s="1">
        <v>9</v>
      </c>
      <c r="K405" s="1" t="s">
        <v>16</v>
      </c>
      <c r="L405" s="1">
        <v>2</v>
      </c>
      <c r="M405" s="1" t="s">
        <v>20</v>
      </c>
      <c r="N405" s="5">
        <f>IF(Tabulka1[[#This Row],[E-shop]]="ano",1,0)</f>
        <v>0</v>
      </c>
      <c r="O405" s="5">
        <f>IF(Tabulka1[[#This Row],[Reklamace]]="ano",1,0)</f>
        <v>1</v>
      </c>
    </row>
    <row r="406" spans="1:15" ht="15.75" customHeight="1" x14ac:dyDescent="0.3">
      <c r="A406" s="1">
        <v>943</v>
      </c>
      <c r="B406" s="2">
        <v>45674</v>
      </c>
      <c r="C406" s="1" t="s">
        <v>18</v>
      </c>
      <c r="D406" s="1" t="s">
        <v>42</v>
      </c>
      <c r="E406" s="1">
        <v>11</v>
      </c>
      <c r="F406" s="1">
        <v>7000</v>
      </c>
      <c r="G406" s="1">
        <v>77000</v>
      </c>
      <c r="H406" s="1">
        <v>20836</v>
      </c>
      <c r="I406" s="1" t="s">
        <v>15</v>
      </c>
      <c r="J406" s="1">
        <v>4</v>
      </c>
      <c r="K406" s="1" t="s">
        <v>15</v>
      </c>
      <c r="L406" s="1">
        <v>4</v>
      </c>
      <c r="M406" s="1" t="s">
        <v>20</v>
      </c>
      <c r="N406" s="5">
        <f>IF(Tabulka1[[#This Row],[E-shop]]="ano",1,0)</f>
        <v>0</v>
      </c>
      <c r="O406" s="5">
        <f>IF(Tabulka1[[#This Row],[Reklamace]]="ano",1,0)</f>
        <v>0</v>
      </c>
    </row>
    <row r="407" spans="1:15" ht="15.75" customHeight="1" x14ac:dyDescent="0.3">
      <c r="A407" s="1">
        <v>950</v>
      </c>
      <c r="B407" s="2">
        <v>45533</v>
      </c>
      <c r="C407" s="1" t="s">
        <v>25</v>
      </c>
      <c r="D407" s="1" t="s">
        <v>43</v>
      </c>
      <c r="E407" s="1">
        <v>7</v>
      </c>
      <c r="F407" s="1">
        <v>11000</v>
      </c>
      <c r="G407" s="1">
        <v>77000</v>
      </c>
      <c r="H407" s="1">
        <v>12914</v>
      </c>
      <c r="I407" s="1" t="s">
        <v>15</v>
      </c>
      <c r="J407" s="1">
        <v>6</v>
      </c>
      <c r="K407" s="1" t="s">
        <v>16</v>
      </c>
      <c r="L407" s="1">
        <v>4</v>
      </c>
      <c r="M407" s="1" t="s">
        <v>20</v>
      </c>
      <c r="N407" s="5">
        <f>IF(Tabulka1[[#This Row],[E-shop]]="ano",1,0)</f>
        <v>0</v>
      </c>
      <c r="O407" s="5">
        <f>IF(Tabulka1[[#This Row],[Reklamace]]="ano",1,0)</f>
        <v>1</v>
      </c>
    </row>
    <row r="408" spans="1:15" ht="15.75" customHeight="1" x14ac:dyDescent="0.3">
      <c r="A408" s="1">
        <v>113</v>
      </c>
      <c r="B408" s="2">
        <v>45780</v>
      </c>
      <c r="C408" s="1" t="s">
        <v>31</v>
      </c>
      <c r="D408" s="1" t="s">
        <v>47</v>
      </c>
      <c r="E408" s="1">
        <v>3</v>
      </c>
      <c r="F408" s="1">
        <v>25000</v>
      </c>
      <c r="G408" s="1">
        <v>75000</v>
      </c>
      <c r="H408" s="1">
        <v>18190</v>
      </c>
      <c r="I408" s="1" t="s">
        <v>15</v>
      </c>
      <c r="J408" s="1">
        <v>3</v>
      </c>
      <c r="K408" s="1" t="s">
        <v>15</v>
      </c>
      <c r="L408" s="1">
        <v>6</v>
      </c>
      <c r="M408" s="1" t="s">
        <v>20</v>
      </c>
      <c r="N408" s="5">
        <f>IF(Tabulka1[[#This Row],[E-shop]]="ano",1,0)</f>
        <v>0</v>
      </c>
      <c r="O408" s="5">
        <f>IF(Tabulka1[[#This Row],[Reklamace]]="ano",1,0)</f>
        <v>0</v>
      </c>
    </row>
    <row r="409" spans="1:15" ht="15.75" customHeight="1" x14ac:dyDescent="0.3">
      <c r="A409" s="1">
        <v>222</v>
      </c>
      <c r="B409" s="2">
        <v>45625</v>
      </c>
      <c r="C409" s="1" t="s">
        <v>36</v>
      </c>
      <c r="D409" s="1" t="s">
        <v>47</v>
      </c>
      <c r="E409" s="1">
        <v>3</v>
      </c>
      <c r="F409" s="1">
        <v>25000</v>
      </c>
      <c r="G409" s="1">
        <v>75000</v>
      </c>
      <c r="H409" s="1">
        <v>22034</v>
      </c>
      <c r="I409" s="1" t="s">
        <v>16</v>
      </c>
      <c r="J409" s="1">
        <v>1</v>
      </c>
      <c r="K409" s="1" t="s">
        <v>15</v>
      </c>
      <c r="L409" s="1">
        <v>9</v>
      </c>
      <c r="M409" s="1" t="s">
        <v>20</v>
      </c>
      <c r="N409" s="5">
        <f>IF(Tabulka1[[#This Row],[E-shop]]="ano",1,0)</f>
        <v>1</v>
      </c>
      <c r="O409" s="5">
        <f>IF(Tabulka1[[#This Row],[Reklamace]]="ano",1,0)</f>
        <v>0</v>
      </c>
    </row>
    <row r="410" spans="1:15" ht="15.75" customHeight="1" x14ac:dyDescent="0.3">
      <c r="A410" s="1">
        <v>354</v>
      </c>
      <c r="B410" s="2">
        <v>45719</v>
      </c>
      <c r="C410" s="1" t="s">
        <v>25</v>
      </c>
      <c r="D410" s="1" t="s">
        <v>22</v>
      </c>
      <c r="E410" s="1">
        <v>5</v>
      </c>
      <c r="F410" s="1">
        <v>15000</v>
      </c>
      <c r="G410" s="1">
        <v>75000</v>
      </c>
      <c r="H410" s="1">
        <v>11306</v>
      </c>
      <c r="I410" s="1" t="s">
        <v>15</v>
      </c>
      <c r="J410" s="1">
        <v>8</v>
      </c>
      <c r="K410" s="1" t="s">
        <v>16</v>
      </c>
      <c r="L410" s="1">
        <v>1</v>
      </c>
      <c r="M410" s="1" t="s">
        <v>20</v>
      </c>
      <c r="N410" s="5">
        <f>IF(Tabulka1[[#This Row],[E-shop]]="ano",1,0)</f>
        <v>0</v>
      </c>
      <c r="O410" s="5">
        <f>IF(Tabulka1[[#This Row],[Reklamace]]="ano",1,0)</f>
        <v>1</v>
      </c>
    </row>
    <row r="411" spans="1:15" ht="15.75" customHeight="1" x14ac:dyDescent="0.3">
      <c r="A411" s="1">
        <v>770</v>
      </c>
      <c r="B411" s="2">
        <v>45873</v>
      </c>
      <c r="C411" s="1" t="s">
        <v>21</v>
      </c>
      <c r="D411" s="1" t="s">
        <v>47</v>
      </c>
      <c r="E411" s="1">
        <v>3</v>
      </c>
      <c r="F411" s="1">
        <v>25000</v>
      </c>
      <c r="G411" s="1">
        <v>75000</v>
      </c>
      <c r="H411" s="1">
        <v>12574</v>
      </c>
      <c r="I411" s="1" t="s">
        <v>15</v>
      </c>
      <c r="J411" s="1">
        <v>6</v>
      </c>
      <c r="K411" s="1" t="s">
        <v>15</v>
      </c>
      <c r="L411" s="1">
        <v>5</v>
      </c>
      <c r="M411" s="1" t="s">
        <v>20</v>
      </c>
      <c r="N411" s="5">
        <f>IF(Tabulka1[[#This Row],[E-shop]]="ano",1,0)</f>
        <v>0</v>
      </c>
      <c r="O411" s="5">
        <f>IF(Tabulka1[[#This Row],[Reklamace]]="ano",1,0)</f>
        <v>0</v>
      </c>
    </row>
    <row r="412" spans="1:15" ht="15.75" customHeight="1" x14ac:dyDescent="0.3">
      <c r="A412" s="1">
        <v>789</v>
      </c>
      <c r="B412" s="2">
        <v>45878</v>
      </c>
      <c r="C412" s="1" t="s">
        <v>13</v>
      </c>
      <c r="D412" s="1" t="s">
        <v>22</v>
      </c>
      <c r="E412" s="1">
        <v>5</v>
      </c>
      <c r="F412" s="1">
        <v>15000</v>
      </c>
      <c r="G412" s="1">
        <v>75000</v>
      </c>
      <c r="H412" s="1">
        <v>13551</v>
      </c>
      <c r="I412" s="1" t="s">
        <v>15</v>
      </c>
      <c r="J412" s="1">
        <v>6</v>
      </c>
      <c r="K412" s="1" t="s">
        <v>16</v>
      </c>
      <c r="L412" s="1">
        <v>3</v>
      </c>
      <c r="M412" s="1" t="s">
        <v>20</v>
      </c>
      <c r="N412" s="5">
        <f>IF(Tabulka1[[#This Row],[E-shop]]="ano",1,0)</f>
        <v>0</v>
      </c>
      <c r="O412" s="5">
        <f>IF(Tabulka1[[#This Row],[Reklamace]]="ano",1,0)</f>
        <v>1</v>
      </c>
    </row>
    <row r="413" spans="1:15" ht="15.75" customHeight="1" x14ac:dyDescent="0.3">
      <c r="A413" s="1">
        <v>18</v>
      </c>
      <c r="B413" s="2">
        <v>45748</v>
      </c>
      <c r="C413" s="1" t="s">
        <v>13</v>
      </c>
      <c r="D413" s="1" t="s">
        <v>35</v>
      </c>
      <c r="E413" s="1">
        <v>6</v>
      </c>
      <c r="F413" s="1">
        <v>12000</v>
      </c>
      <c r="G413" s="1">
        <v>72000</v>
      </c>
      <c r="H413" s="1">
        <v>19251</v>
      </c>
      <c r="I413" s="1" t="s">
        <v>15</v>
      </c>
      <c r="J413" s="1">
        <v>3</v>
      </c>
      <c r="K413" s="1" t="s">
        <v>15</v>
      </c>
      <c r="L413" s="1">
        <v>5</v>
      </c>
      <c r="M413" s="1" t="s">
        <v>20</v>
      </c>
      <c r="N413" s="5">
        <f>IF(Tabulka1[[#This Row],[E-shop]]="ano",1,0)</f>
        <v>0</v>
      </c>
      <c r="O413" s="5">
        <f>IF(Tabulka1[[#This Row],[Reklamace]]="ano",1,0)</f>
        <v>0</v>
      </c>
    </row>
    <row r="414" spans="1:15" ht="15.75" customHeight="1" x14ac:dyDescent="0.3">
      <c r="A414" s="1">
        <v>45</v>
      </c>
      <c r="B414" s="2">
        <v>45881</v>
      </c>
      <c r="C414" s="1" t="s">
        <v>18</v>
      </c>
      <c r="D414" s="1" t="s">
        <v>38</v>
      </c>
      <c r="E414" s="1">
        <v>8</v>
      </c>
      <c r="F414" s="1">
        <v>9000</v>
      </c>
      <c r="G414" s="1">
        <v>72000</v>
      </c>
      <c r="H414" s="1">
        <v>20716</v>
      </c>
      <c r="I414" s="1" t="s">
        <v>15</v>
      </c>
      <c r="J414" s="1">
        <v>2</v>
      </c>
      <c r="K414" s="1" t="s">
        <v>15</v>
      </c>
      <c r="L414" s="1">
        <v>6</v>
      </c>
      <c r="M414" s="1" t="s">
        <v>20</v>
      </c>
      <c r="N414" s="5">
        <f>IF(Tabulka1[[#This Row],[E-shop]]="ano",1,0)</f>
        <v>0</v>
      </c>
      <c r="O414" s="5">
        <f>IF(Tabulka1[[#This Row],[Reklamace]]="ano",1,0)</f>
        <v>0</v>
      </c>
    </row>
    <row r="415" spans="1:15" ht="15.75" customHeight="1" x14ac:dyDescent="0.3">
      <c r="A415" s="1">
        <v>50</v>
      </c>
      <c r="B415" s="2">
        <v>45844</v>
      </c>
      <c r="C415" s="1" t="s">
        <v>31</v>
      </c>
      <c r="D415" s="1" t="s">
        <v>14</v>
      </c>
      <c r="E415" s="1">
        <v>6</v>
      </c>
      <c r="F415" s="1">
        <v>12000</v>
      </c>
      <c r="G415" s="1">
        <v>72000</v>
      </c>
      <c r="H415" s="1">
        <v>11227</v>
      </c>
      <c r="I415" s="1" t="s">
        <v>16</v>
      </c>
      <c r="J415" s="1">
        <v>5</v>
      </c>
      <c r="K415" s="1" t="s">
        <v>15</v>
      </c>
      <c r="L415" s="1">
        <v>5</v>
      </c>
      <c r="M415" s="1" t="s">
        <v>20</v>
      </c>
      <c r="N415" s="5">
        <f>IF(Tabulka1[[#This Row],[E-shop]]="ano",1,0)</f>
        <v>1</v>
      </c>
      <c r="O415" s="5">
        <f>IF(Tabulka1[[#This Row],[Reklamace]]="ano",1,0)</f>
        <v>0</v>
      </c>
    </row>
    <row r="416" spans="1:15" ht="15.75" customHeight="1" x14ac:dyDescent="0.3">
      <c r="A416" s="1">
        <v>155</v>
      </c>
      <c r="B416" s="2">
        <v>45404</v>
      </c>
      <c r="C416" s="1" t="s">
        <v>23</v>
      </c>
      <c r="D416" s="1" t="s">
        <v>33</v>
      </c>
      <c r="E416" s="1">
        <v>12</v>
      </c>
      <c r="F416" s="1">
        <v>6000</v>
      </c>
      <c r="G416" s="1">
        <v>72000</v>
      </c>
      <c r="H416" s="1">
        <v>12244</v>
      </c>
      <c r="I416" s="1" t="s">
        <v>15</v>
      </c>
      <c r="J416" s="1">
        <v>9</v>
      </c>
      <c r="K416" s="1" t="s">
        <v>16</v>
      </c>
      <c r="L416" s="1">
        <v>2</v>
      </c>
      <c r="M416" s="1" t="s">
        <v>17</v>
      </c>
      <c r="N416" s="5">
        <f>IF(Tabulka1[[#This Row],[E-shop]]="ano",1,0)</f>
        <v>0</v>
      </c>
      <c r="O416" s="5">
        <f>IF(Tabulka1[[#This Row],[Reklamace]]="ano",1,0)</f>
        <v>1</v>
      </c>
    </row>
    <row r="417" spans="1:15" ht="15.75" customHeight="1" x14ac:dyDescent="0.3">
      <c r="A417" s="1">
        <v>181</v>
      </c>
      <c r="B417" s="2">
        <v>45921</v>
      </c>
      <c r="C417" s="1" t="s">
        <v>31</v>
      </c>
      <c r="D417" s="1" t="s">
        <v>33</v>
      </c>
      <c r="E417" s="1">
        <v>12</v>
      </c>
      <c r="F417" s="1">
        <v>6000</v>
      </c>
      <c r="G417" s="1">
        <v>72000</v>
      </c>
      <c r="H417" s="1">
        <v>21307</v>
      </c>
      <c r="I417" s="1" t="s">
        <v>15</v>
      </c>
      <c r="J417" s="1">
        <v>9</v>
      </c>
      <c r="K417" s="1" t="s">
        <v>16</v>
      </c>
      <c r="L417" s="1">
        <v>1</v>
      </c>
      <c r="M417" s="1" t="s">
        <v>20</v>
      </c>
      <c r="N417" s="5">
        <f>IF(Tabulka1[[#This Row],[E-shop]]="ano",1,0)</f>
        <v>0</v>
      </c>
      <c r="O417" s="5">
        <f>IF(Tabulka1[[#This Row],[Reklamace]]="ano",1,0)</f>
        <v>1</v>
      </c>
    </row>
    <row r="418" spans="1:15" ht="15.75" customHeight="1" x14ac:dyDescent="0.3">
      <c r="A418" s="1">
        <v>210</v>
      </c>
      <c r="B418" s="2">
        <v>45512</v>
      </c>
      <c r="C418" s="1" t="s">
        <v>36</v>
      </c>
      <c r="D418" s="1" t="s">
        <v>33</v>
      </c>
      <c r="E418" s="1">
        <v>12</v>
      </c>
      <c r="F418" s="1">
        <v>6000</v>
      </c>
      <c r="G418" s="1">
        <v>72000</v>
      </c>
      <c r="H418" s="1">
        <v>19765</v>
      </c>
      <c r="I418" s="1" t="s">
        <v>16</v>
      </c>
      <c r="J418" s="1">
        <v>6</v>
      </c>
      <c r="K418" s="1" t="s">
        <v>16</v>
      </c>
      <c r="L418" s="1">
        <v>2</v>
      </c>
      <c r="M418" s="1" t="s">
        <v>20</v>
      </c>
      <c r="N418" s="5">
        <f>IF(Tabulka1[[#This Row],[E-shop]]="ano",1,0)</f>
        <v>1</v>
      </c>
      <c r="O418" s="5">
        <f>IF(Tabulka1[[#This Row],[Reklamace]]="ano",1,0)</f>
        <v>1</v>
      </c>
    </row>
    <row r="419" spans="1:15" ht="15.75" customHeight="1" x14ac:dyDescent="0.3">
      <c r="A419" s="1">
        <v>213</v>
      </c>
      <c r="B419" s="2">
        <v>45718</v>
      </c>
      <c r="C419" s="1" t="s">
        <v>18</v>
      </c>
      <c r="D419" s="1" t="s">
        <v>26</v>
      </c>
      <c r="E419" s="1">
        <v>6</v>
      </c>
      <c r="F419" s="1">
        <v>12000</v>
      </c>
      <c r="G419" s="1">
        <v>72000</v>
      </c>
      <c r="H419" s="1">
        <v>16021</v>
      </c>
      <c r="I419" s="1" t="s">
        <v>15</v>
      </c>
      <c r="J419" s="1">
        <v>3</v>
      </c>
      <c r="K419" s="1" t="s">
        <v>15</v>
      </c>
      <c r="L419" s="1">
        <v>6</v>
      </c>
      <c r="M419" s="1" t="s">
        <v>17</v>
      </c>
      <c r="N419" s="5">
        <f>IF(Tabulka1[[#This Row],[E-shop]]="ano",1,0)</f>
        <v>0</v>
      </c>
      <c r="O419" s="5">
        <f>IF(Tabulka1[[#This Row],[Reklamace]]="ano",1,0)</f>
        <v>0</v>
      </c>
    </row>
    <row r="420" spans="1:15" ht="15.75" customHeight="1" x14ac:dyDescent="0.3">
      <c r="A420" s="1">
        <v>265</v>
      </c>
      <c r="B420" s="2">
        <v>45720</v>
      </c>
      <c r="C420" s="1" t="s">
        <v>13</v>
      </c>
      <c r="D420" s="1" t="s">
        <v>35</v>
      </c>
      <c r="E420" s="1">
        <v>6</v>
      </c>
      <c r="F420" s="1">
        <v>12000</v>
      </c>
      <c r="G420" s="1">
        <v>72000</v>
      </c>
      <c r="H420" s="1">
        <v>13352</v>
      </c>
      <c r="I420" s="1" t="s">
        <v>15</v>
      </c>
      <c r="J420" s="1">
        <v>4</v>
      </c>
      <c r="K420" s="1" t="s">
        <v>15</v>
      </c>
      <c r="L420" s="1">
        <v>4</v>
      </c>
      <c r="M420" s="1" t="s">
        <v>20</v>
      </c>
      <c r="N420" s="5">
        <f>IF(Tabulka1[[#This Row],[E-shop]]="ano",1,0)</f>
        <v>0</v>
      </c>
      <c r="O420" s="5">
        <f>IF(Tabulka1[[#This Row],[Reklamace]]="ano",1,0)</f>
        <v>0</v>
      </c>
    </row>
    <row r="421" spans="1:15" ht="15.75" customHeight="1" x14ac:dyDescent="0.3">
      <c r="A421" s="1">
        <v>295</v>
      </c>
      <c r="B421" s="2">
        <v>45561</v>
      </c>
      <c r="C421" s="1" t="s">
        <v>36</v>
      </c>
      <c r="D421" s="1" t="s">
        <v>33</v>
      </c>
      <c r="E421" s="1">
        <v>12</v>
      </c>
      <c r="F421" s="1">
        <v>6000</v>
      </c>
      <c r="G421" s="1">
        <v>72000</v>
      </c>
      <c r="H421" s="1">
        <v>21088</v>
      </c>
      <c r="I421" s="1" t="s">
        <v>16</v>
      </c>
      <c r="J421" s="1">
        <v>6</v>
      </c>
      <c r="K421" s="1" t="s">
        <v>16</v>
      </c>
      <c r="L421" s="1">
        <v>2</v>
      </c>
      <c r="M421" s="1" t="s">
        <v>20</v>
      </c>
      <c r="N421" s="5">
        <f>IF(Tabulka1[[#This Row],[E-shop]]="ano",1,0)</f>
        <v>1</v>
      </c>
      <c r="O421" s="5">
        <f>IF(Tabulka1[[#This Row],[Reklamace]]="ano",1,0)</f>
        <v>1</v>
      </c>
    </row>
    <row r="422" spans="1:15" ht="15.75" customHeight="1" x14ac:dyDescent="0.3">
      <c r="A422" s="1">
        <v>340</v>
      </c>
      <c r="B422" s="2">
        <v>45527</v>
      </c>
      <c r="C422" s="1" t="s">
        <v>31</v>
      </c>
      <c r="D422" s="1" t="s">
        <v>33</v>
      </c>
      <c r="E422" s="1">
        <v>12</v>
      </c>
      <c r="F422" s="1">
        <v>6000</v>
      </c>
      <c r="G422" s="1">
        <v>72000</v>
      </c>
      <c r="H422" s="1">
        <v>14489</v>
      </c>
      <c r="I422" s="1" t="s">
        <v>15</v>
      </c>
      <c r="J422" s="1">
        <v>7</v>
      </c>
      <c r="K422" s="1" t="s">
        <v>16</v>
      </c>
      <c r="L422" s="1">
        <v>2</v>
      </c>
      <c r="M422" s="1" t="s">
        <v>20</v>
      </c>
      <c r="N422" s="5">
        <f>IF(Tabulka1[[#This Row],[E-shop]]="ano",1,0)</f>
        <v>0</v>
      </c>
      <c r="O422" s="5">
        <f>IF(Tabulka1[[#This Row],[Reklamace]]="ano",1,0)</f>
        <v>1</v>
      </c>
    </row>
    <row r="423" spans="1:15" ht="15.75" customHeight="1" x14ac:dyDescent="0.3">
      <c r="A423" s="1">
        <v>448</v>
      </c>
      <c r="B423" s="2">
        <v>45918</v>
      </c>
      <c r="C423" s="1" t="s">
        <v>21</v>
      </c>
      <c r="D423" s="1" t="s">
        <v>35</v>
      </c>
      <c r="E423" s="1">
        <v>6</v>
      </c>
      <c r="F423" s="1">
        <v>12000</v>
      </c>
      <c r="G423" s="1">
        <v>72000</v>
      </c>
      <c r="H423" s="1">
        <v>21171</v>
      </c>
      <c r="I423" s="1" t="s">
        <v>15</v>
      </c>
      <c r="J423" s="1">
        <v>4</v>
      </c>
      <c r="K423" s="1" t="s">
        <v>16</v>
      </c>
      <c r="L423" s="1">
        <v>4</v>
      </c>
      <c r="M423" s="1" t="s">
        <v>20</v>
      </c>
      <c r="N423" s="5">
        <f>IF(Tabulka1[[#This Row],[E-shop]]="ano",1,0)</f>
        <v>0</v>
      </c>
      <c r="O423" s="5">
        <f>IF(Tabulka1[[#This Row],[Reklamace]]="ano",1,0)</f>
        <v>1</v>
      </c>
    </row>
    <row r="424" spans="1:15" ht="15.75" customHeight="1" x14ac:dyDescent="0.3">
      <c r="A424" s="1">
        <v>635</v>
      </c>
      <c r="B424" s="2">
        <v>45760</v>
      </c>
      <c r="C424" s="1" t="s">
        <v>31</v>
      </c>
      <c r="D424" s="1" t="s">
        <v>26</v>
      </c>
      <c r="E424" s="1">
        <v>6</v>
      </c>
      <c r="F424" s="1">
        <v>12000</v>
      </c>
      <c r="G424" s="1">
        <v>72000</v>
      </c>
      <c r="H424" s="1">
        <v>14882</v>
      </c>
      <c r="I424" s="1" t="s">
        <v>15</v>
      </c>
      <c r="J424" s="1">
        <v>7</v>
      </c>
      <c r="K424" s="1" t="s">
        <v>16</v>
      </c>
      <c r="L424" s="1">
        <v>2</v>
      </c>
      <c r="M424" s="1" t="s">
        <v>20</v>
      </c>
      <c r="N424" s="5">
        <f>IF(Tabulka1[[#This Row],[E-shop]]="ano",1,0)</f>
        <v>0</v>
      </c>
      <c r="O424" s="5">
        <f>IF(Tabulka1[[#This Row],[Reklamace]]="ano",1,0)</f>
        <v>1</v>
      </c>
    </row>
    <row r="425" spans="1:15" ht="15.75" customHeight="1" x14ac:dyDescent="0.3">
      <c r="A425" s="1">
        <v>644</v>
      </c>
      <c r="B425" s="2">
        <v>45791</v>
      </c>
      <c r="C425" s="1" t="s">
        <v>23</v>
      </c>
      <c r="D425" s="1" t="s">
        <v>26</v>
      </c>
      <c r="E425" s="1">
        <v>6</v>
      </c>
      <c r="F425" s="1">
        <v>12000</v>
      </c>
      <c r="G425" s="1">
        <v>72000</v>
      </c>
      <c r="H425" s="1">
        <v>21380</v>
      </c>
      <c r="I425" s="1" t="s">
        <v>16</v>
      </c>
      <c r="J425" s="1">
        <v>2</v>
      </c>
      <c r="K425" s="1" t="s">
        <v>15</v>
      </c>
      <c r="L425" s="1">
        <v>6</v>
      </c>
      <c r="M425" s="1" t="s">
        <v>20</v>
      </c>
      <c r="N425" s="5">
        <f>IF(Tabulka1[[#This Row],[E-shop]]="ano",1,0)</f>
        <v>1</v>
      </c>
      <c r="O425" s="5">
        <f>IF(Tabulka1[[#This Row],[Reklamace]]="ano",1,0)</f>
        <v>0</v>
      </c>
    </row>
    <row r="426" spans="1:15" ht="15.75" customHeight="1" x14ac:dyDescent="0.3">
      <c r="A426" s="1">
        <v>655</v>
      </c>
      <c r="B426" s="2">
        <v>45992</v>
      </c>
      <c r="C426" s="1" t="s">
        <v>13</v>
      </c>
      <c r="D426" s="1" t="s">
        <v>14</v>
      </c>
      <c r="E426" s="1">
        <v>6</v>
      </c>
      <c r="F426" s="1">
        <v>12000</v>
      </c>
      <c r="G426" s="1">
        <v>72000</v>
      </c>
      <c r="H426" s="1">
        <v>21376</v>
      </c>
      <c r="I426" s="1" t="s">
        <v>16</v>
      </c>
      <c r="J426" s="1">
        <v>4</v>
      </c>
      <c r="K426" s="1" t="s">
        <v>15</v>
      </c>
      <c r="L426" s="1">
        <v>7</v>
      </c>
      <c r="M426" s="1" t="s">
        <v>20</v>
      </c>
      <c r="N426" s="5">
        <f>IF(Tabulka1[[#This Row],[E-shop]]="ano",1,0)</f>
        <v>1</v>
      </c>
      <c r="O426" s="5">
        <f>IF(Tabulka1[[#This Row],[Reklamace]]="ano",1,0)</f>
        <v>0</v>
      </c>
    </row>
    <row r="427" spans="1:15" ht="15.75" customHeight="1" x14ac:dyDescent="0.3">
      <c r="A427" s="1">
        <v>664</v>
      </c>
      <c r="B427" s="2">
        <v>45307</v>
      </c>
      <c r="C427" s="1" t="s">
        <v>36</v>
      </c>
      <c r="D427" s="1" t="s">
        <v>38</v>
      </c>
      <c r="E427" s="1">
        <v>8</v>
      </c>
      <c r="F427" s="1">
        <v>9000</v>
      </c>
      <c r="G427" s="1">
        <v>72000</v>
      </c>
      <c r="H427" s="1">
        <v>18009</v>
      </c>
      <c r="I427" s="1" t="s">
        <v>15</v>
      </c>
      <c r="J427" s="1">
        <v>4</v>
      </c>
      <c r="K427" s="1" t="s">
        <v>15</v>
      </c>
      <c r="L427" s="1">
        <v>5</v>
      </c>
      <c r="M427" s="1" t="s">
        <v>20</v>
      </c>
      <c r="N427" s="5">
        <f>IF(Tabulka1[[#This Row],[E-shop]]="ano",1,0)</f>
        <v>0</v>
      </c>
      <c r="O427" s="5">
        <f>IF(Tabulka1[[#This Row],[Reklamace]]="ano",1,0)</f>
        <v>0</v>
      </c>
    </row>
    <row r="428" spans="1:15" ht="15.75" customHeight="1" x14ac:dyDescent="0.3">
      <c r="A428" s="1">
        <v>673</v>
      </c>
      <c r="B428" s="2">
        <v>45348</v>
      </c>
      <c r="C428" s="1" t="s">
        <v>25</v>
      </c>
      <c r="D428" s="1" t="s">
        <v>38</v>
      </c>
      <c r="E428" s="1">
        <v>8</v>
      </c>
      <c r="F428" s="1">
        <v>9000</v>
      </c>
      <c r="G428" s="1">
        <v>72000</v>
      </c>
      <c r="H428" s="1">
        <v>16964</v>
      </c>
      <c r="I428" s="1" t="s">
        <v>15</v>
      </c>
      <c r="J428" s="1">
        <v>8</v>
      </c>
      <c r="K428" s="1" t="s">
        <v>16</v>
      </c>
      <c r="L428" s="1">
        <v>2</v>
      </c>
      <c r="M428" s="1" t="s">
        <v>17</v>
      </c>
      <c r="N428" s="5">
        <f>IF(Tabulka1[[#This Row],[E-shop]]="ano",1,0)</f>
        <v>0</v>
      </c>
      <c r="O428" s="5">
        <f>IF(Tabulka1[[#This Row],[Reklamace]]="ano",1,0)</f>
        <v>1</v>
      </c>
    </row>
    <row r="429" spans="1:15" ht="15.75" customHeight="1" x14ac:dyDescent="0.3">
      <c r="A429" s="1">
        <v>693</v>
      </c>
      <c r="B429" s="2">
        <v>45985</v>
      </c>
      <c r="C429" s="1" t="s">
        <v>23</v>
      </c>
      <c r="D429" s="1" t="s">
        <v>33</v>
      </c>
      <c r="E429" s="1">
        <v>12</v>
      </c>
      <c r="F429" s="1">
        <v>6000</v>
      </c>
      <c r="G429" s="1">
        <v>72000</v>
      </c>
      <c r="H429" s="1">
        <v>18632</v>
      </c>
      <c r="I429" s="1" t="s">
        <v>15</v>
      </c>
      <c r="J429" s="1">
        <v>9</v>
      </c>
      <c r="K429" s="1" t="s">
        <v>16</v>
      </c>
      <c r="L429" s="1">
        <v>2</v>
      </c>
      <c r="M429" s="1" t="s">
        <v>20</v>
      </c>
      <c r="N429" s="5">
        <f>IF(Tabulka1[[#This Row],[E-shop]]="ano",1,0)</f>
        <v>0</v>
      </c>
      <c r="O429" s="5">
        <f>IF(Tabulka1[[#This Row],[Reklamace]]="ano",1,0)</f>
        <v>1</v>
      </c>
    </row>
    <row r="430" spans="1:15" ht="15.75" customHeight="1" x14ac:dyDescent="0.3">
      <c r="A430" s="1">
        <v>719</v>
      </c>
      <c r="B430" s="2">
        <v>45987</v>
      </c>
      <c r="C430" s="1" t="s">
        <v>18</v>
      </c>
      <c r="D430" s="1" t="s">
        <v>28</v>
      </c>
      <c r="E430" s="1">
        <v>4</v>
      </c>
      <c r="F430" s="1">
        <v>18000</v>
      </c>
      <c r="G430" s="1">
        <v>72000</v>
      </c>
      <c r="H430" s="1">
        <v>16283</v>
      </c>
      <c r="I430" s="1" t="s">
        <v>16</v>
      </c>
      <c r="J430" s="1">
        <v>7</v>
      </c>
      <c r="K430" s="1" t="s">
        <v>16</v>
      </c>
      <c r="L430" s="1">
        <v>3</v>
      </c>
      <c r="M430" s="1" t="s">
        <v>20</v>
      </c>
      <c r="N430" s="5">
        <f>IF(Tabulka1[[#This Row],[E-shop]]="ano",1,0)</f>
        <v>1</v>
      </c>
      <c r="O430" s="5">
        <f>IF(Tabulka1[[#This Row],[Reklamace]]="ano",1,0)</f>
        <v>1</v>
      </c>
    </row>
    <row r="431" spans="1:15" ht="15.75" customHeight="1" x14ac:dyDescent="0.3">
      <c r="A431" s="1">
        <v>742</v>
      </c>
      <c r="B431" s="2">
        <v>45629</v>
      </c>
      <c r="C431" s="1" t="s">
        <v>23</v>
      </c>
      <c r="D431" s="1" t="s">
        <v>26</v>
      </c>
      <c r="E431" s="1">
        <v>6</v>
      </c>
      <c r="F431" s="1">
        <v>12000</v>
      </c>
      <c r="G431" s="1">
        <v>72000</v>
      </c>
      <c r="H431" s="1">
        <v>17505</v>
      </c>
      <c r="I431" s="1" t="s">
        <v>16</v>
      </c>
      <c r="J431" s="1">
        <v>2</v>
      </c>
      <c r="K431" s="1" t="s">
        <v>15</v>
      </c>
      <c r="L431" s="1">
        <v>6</v>
      </c>
      <c r="M431" s="1" t="s">
        <v>20</v>
      </c>
      <c r="N431" s="5">
        <f>IF(Tabulka1[[#This Row],[E-shop]]="ano",1,0)</f>
        <v>1</v>
      </c>
      <c r="O431" s="5">
        <f>IF(Tabulka1[[#This Row],[Reklamace]]="ano",1,0)</f>
        <v>0</v>
      </c>
    </row>
    <row r="432" spans="1:15" ht="15.75" customHeight="1" x14ac:dyDescent="0.3">
      <c r="A432" s="1">
        <v>795</v>
      </c>
      <c r="B432" s="2">
        <v>45988</v>
      </c>
      <c r="C432" s="1" t="s">
        <v>18</v>
      </c>
      <c r="D432" s="1" t="s">
        <v>35</v>
      </c>
      <c r="E432" s="1">
        <v>6</v>
      </c>
      <c r="F432" s="1">
        <v>12000</v>
      </c>
      <c r="G432" s="1">
        <v>72000</v>
      </c>
      <c r="H432" s="1">
        <v>16011</v>
      </c>
      <c r="I432" s="1" t="s">
        <v>16</v>
      </c>
      <c r="J432" s="1">
        <v>5</v>
      </c>
      <c r="K432" s="1" t="s">
        <v>15</v>
      </c>
      <c r="L432" s="1">
        <v>5</v>
      </c>
      <c r="M432" s="1" t="s">
        <v>17</v>
      </c>
      <c r="N432" s="5">
        <f>IF(Tabulka1[[#This Row],[E-shop]]="ano",1,0)</f>
        <v>1</v>
      </c>
      <c r="O432" s="5">
        <f>IF(Tabulka1[[#This Row],[Reklamace]]="ano",1,0)</f>
        <v>0</v>
      </c>
    </row>
    <row r="433" spans="1:15" ht="15.75" customHeight="1" x14ac:dyDescent="0.3">
      <c r="A433" s="1">
        <v>813</v>
      </c>
      <c r="B433" s="2">
        <v>45796</v>
      </c>
      <c r="C433" s="1" t="s">
        <v>18</v>
      </c>
      <c r="D433" s="1" t="s">
        <v>19</v>
      </c>
      <c r="E433" s="1">
        <v>8</v>
      </c>
      <c r="F433" s="1">
        <v>9000</v>
      </c>
      <c r="G433" s="1">
        <v>72000</v>
      </c>
      <c r="H433" s="1">
        <v>11925</v>
      </c>
      <c r="I433" s="1" t="s">
        <v>16</v>
      </c>
      <c r="J433" s="1">
        <v>5</v>
      </c>
      <c r="K433" s="1" t="s">
        <v>15</v>
      </c>
      <c r="L433" s="1">
        <v>6</v>
      </c>
      <c r="M433" s="1" t="s">
        <v>17</v>
      </c>
      <c r="N433" s="5">
        <f>IF(Tabulka1[[#This Row],[E-shop]]="ano",1,0)</f>
        <v>1</v>
      </c>
      <c r="O433" s="5">
        <f>IF(Tabulka1[[#This Row],[Reklamace]]="ano",1,0)</f>
        <v>0</v>
      </c>
    </row>
    <row r="434" spans="1:15" ht="15.75" customHeight="1" x14ac:dyDescent="0.3">
      <c r="A434" s="1">
        <v>826</v>
      </c>
      <c r="B434" s="2">
        <v>45974</v>
      </c>
      <c r="C434" s="1" t="s">
        <v>31</v>
      </c>
      <c r="D434" s="1" t="s">
        <v>26</v>
      </c>
      <c r="E434" s="1">
        <v>6</v>
      </c>
      <c r="F434" s="1">
        <v>12000</v>
      </c>
      <c r="G434" s="1">
        <v>72000</v>
      </c>
      <c r="H434" s="1">
        <v>15325</v>
      </c>
      <c r="I434" s="1" t="s">
        <v>15</v>
      </c>
      <c r="J434" s="1">
        <v>8</v>
      </c>
      <c r="K434" s="1" t="s">
        <v>16</v>
      </c>
      <c r="L434" s="1">
        <v>1</v>
      </c>
      <c r="M434" s="1" t="s">
        <v>17</v>
      </c>
      <c r="N434" s="5">
        <f>IF(Tabulka1[[#This Row],[E-shop]]="ano",1,0)</f>
        <v>0</v>
      </c>
      <c r="O434" s="5">
        <f>IF(Tabulka1[[#This Row],[Reklamace]]="ano",1,0)</f>
        <v>1</v>
      </c>
    </row>
    <row r="435" spans="1:15" ht="15.75" customHeight="1" x14ac:dyDescent="0.3">
      <c r="A435" s="1">
        <v>879</v>
      </c>
      <c r="B435" s="2">
        <v>45923</v>
      </c>
      <c r="C435" s="1" t="s">
        <v>23</v>
      </c>
      <c r="D435" s="1" t="s">
        <v>26</v>
      </c>
      <c r="E435" s="1">
        <v>6</v>
      </c>
      <c r="F435" s="1">
        <v>12000</v>
      </c>
      <c r="G435" s="1">
        <v>72000</v>
      </c>
      <c r="H435" s="1">
        <v>17308</v>
      </c>
      <c r="I435" s="1" t="s">
        <v>16</v>
      </c>
      <c r="J435" s="1">
        <v>6</v>
      </c>
      <c r="K435" s="1" t="s">
        <v>15</v>
      </c>
      <c r="L435" s="1">
        <v>5</v>
      </c>
      <c r="M435" s="1" t="s">
        <v>20</v>
      </c>
      <c r="N435" s="5">
        <f>IF(Tabulka1[[#This Row],[E-shop]]="ano",1,0)</f>
        <v>1</v>
      </c>
      <c r="O435" s="5">
        <f>IF(Tabulka1[[#This Row],[Reklamace]]="ano",1,0)</f>
        <v>0</v>
      </c>
    </row>
    <row r="436" spans="1:15" ht="15.75" customHeight="1" x14ac:dyDescent="0.3">
      <c r="A436" s="1">
        <v>897</v>
      </c>
      <c r="B436" s="2">
        <v>45997</v>
      </c>
      <c r="C436" s="1" t="s">
        <v>36</v>
      </c>
      <c r="D436" s="1" t="s">
        <v>19</v>
      </c>
      <c r="E436" s="1">
        <v>8</v>
      </c>
      <c r="F436" s="1">
        <v>9000</v>
      </c>
      <c r="G436" s="1">
        <v>72000</v>
      </c>
      <c r="H436" s="1">
        <v>16186</v>
      </c>
      <c r="I436" s="1" t="s">
        <v>16</v>
      </c>
      <c r="J436" s="1">
        <v>6</v>
      </c>
      <c r="K436" s="1" t="s">
        <v>16</v>
      </c>
      <c r="L436" s="1">
        <v>3</v>
      </c>
      <c r="M436" s="1" t="s">
        <v>20</v>
      </c>
      <c r="N436" s="5">
        <f>IF(Tabulka1[[#This Row],[E-shop]]="ano",1,0)</f>
        <v>1</v>
      </c>
      <c r="O436" s="5">
        <f>IF(Tabulka1[[#This Row],[Reklamace]]="ano",1,0)</f>
        <v>1</v>
      </c>
    </row>
    <row r="437" spans="1:15" ht="15.75" customHeight="1" x14ac:dyDescent="0.3">
      <c r="A437" s="1">
        <v>919</v>
      </c>
      <c r="B437" s="2">
        <v>45401</v>
      </c>
      <c r="C437" s="1" t="s">
        <v>31</v>
      </c>
      <c r="D437" s="1" t="s">
        <v>35</v>
      </c>
      <c r="E437" s="1">
        <v>6</v>
      </c>
      <c r="F437" s="1">
        <v>12000</v>
      </c>
      <c r="G437" s="1">
        <v>72000</v>
      </c>
      <c r="H437" s="1">
        <v>21209</v>
      </c>
      <c r="I437" s="1" t="s">
        <v>15</v>
      </c>
      <c r="J437" s="1">
        <v>7</v>
      </c>
      <c r="K437" s="1" t="s">
        <v>15</v>
      </c>
      <c r="L437" s="1">
        <v>3</v>
      </c>
      <c r="M437" s="1" t="s">
        <v>17</v>
      </c>
      <c r="N437" s="5">
        <f>IF(Tabulka1[[#This Row],[E-shop]]="ano",1,0)</f>
        <v>0</v>
      </c>
      <c r="O437" s="5">
        <f>IF(Tabulka1[[#This Row],[Reklamace]]="ano",1,0)</f>
        <v>0</v>
      </c>
    </row>
    <row r="438" spans="1:15" ht="15.75" customHeight="1" x14ac:dyDescent="0.3">
      <c r="A438" s="1">
        <v>928</v>
      </c>
      <c r="B438" s="2">
        <v>45752</v>
      </c>
      <c r="C438" s="1" t="s">
        <v>18</v>
      </c>
      <c r="D438" s="1" t="s">
        <v>28</v>
      </c>
      <c r="E438" s="1">
        <v>4</v>
      </c>
      <c r="F438" s="1">
        <v>18000</v>
      </c>
      <c r="G438" s="1">
        <v>72000</v>
      </c>
      <c r="H438" s="1">
        <v>19309</v>
      </c>
      <c r="I438" s="1" t="s">
        <v>15</v>
      </c>
      <c r="J438" s="1">
        <v>4</v>
      </c>
      <c r="K438" s="1" t="s">
        <v>15</v>
      </c>
      <c r="L438" s="1">
        <v>5</v>
      </c>
      <c r="M438" s="1" t="s">
        <v>20</v>
      </c>
      <c r="N438" s="5">
        <f>IF(Tabulka1[[#This Row],[E-shop]]="ano",1,0)</f>
        <v>0</v>
      </c>
      <c r="O438" s="5">
        <f>IF(Tabulka1[[#This Row],[Reklamace]]="ano",1,0)</f>
        <v>0</v>
      </c>
    </row>
    <row r="439" spans="1:15" ht="15.75" customHeight="1" x14ac:dyDescent="0.3">
      <c r="A439" s="1">
        <v>971</v>
      </c>
      <c r="B439" s="2">
        <v>45835</v>
      </c>
      <c r="C439" s="1" t="s">
        <v>25</v>
      </c>
      <c r="D439" s="1" t="s">
        <v>28</v>
      </c>
      <c r="E439" s="1">
        <v>4</v>
      </c>
      <c r="F439" s="1">
        <v>18000</v>
      </c>
      <c r="G439" s="1">
        <v>72000</v>
      </c>
      <c r="H439" s="1">
        <v>12134</v>
      </c>
      <c r="I439" s="1" t="s">
        <v>15</v>
      </c>
      <c r="J439" s="1">
        <v>4</v>
      </c>
      <c r="K439" s="1" t="s">
        <v>16</v>
      </c>
      <c r="L439" s="1">
        <v>4</v>
      </c>
      <c r="M439" s="1" t="s">
        <v>20</v>
      </c>
      <c r="N439" s="5">
        <f>IF(Tabulka1[[#This Row],[E-shop]]="ano",1,0)</f>
        <v>0</v>
      </c>
      <c r="O439" s="5">
        <f>IF(Tabulka1[[#This Row],[Reklamace]]="ano",1,0)</f>
        <v>1</v>
      </c>
    </row>
    <row r="440" spans="1:15" ht="15.75" customHeight="1" x14ac:dyDescent="0.3">
      <c r="A440" s="1">
        <v>68</v>
      </c>
      <c r="B440" s="2">
        <v>45641</v>
      </c>
      <c r="C440" s="1" t="s">
        <v>13</v>
      </c>
      <c r="D440" s="1" t="s">
        <v>44</v>
      </c>
      <c r="E440" s="1">
        <v>7</v>
      </c>
      <c r="F440" s="1">
        <v>10000</v>
      </c>
      <c r="G440" s="1">
        <v>70000</v>
      </c>
      <c r="H440" s="1">
        <v>20956</v>
      </c>
      <c r="I440" s="1" t="s">
        <v>16</v>
      </c>
      <c r="J440" s="1">
        <v>5</v>
      </c>
      <c r="K440" s="1" t="s">
        <v>15</v>
      </c>
      <c r="L440" s="1">
        <v>3</v>
      </c>
      <c r="M440" s="1" t="s">
        <v>20</v>
      </c>
      <c r="N440" s="5">
        <f>IF(Tabulka1[[#This Row],[E-shop]]="ano",1,0)</f>
        <v>1</v>
      </c>
      <c r="O440" s="5">
        <f>IF(Tabulka1[[#This Row],[Reklamace]]="ano",1,0)</f>
        <v>0</v>
      </c>
    </row>
    <row r="441" spans="1:15" ht="15.75" customHeight="1" x14ac:dyDescent="0.3">
      <c r="A441" s="1">
        <v>229</v>
      </c>
      <c r="B441" s="2">
        <v>45972</v>
      </c>
      <c r="C441" s="1" t="s">
        <v>31</v>
      </c>
      <c r="D441" s="1" t="s">
        <v>41</v>
      </c>
      <c r="E441" s="1">
        <v>14</v>
      </c>
      <c r="F441" s="1">
        <v>5000</v>
      </c>
      <c r="G441" s="1">
        <v>70000</v>
      </c>
      <c r="H441" s="1">
        <v>19280</v>
      </c>
      <c r="I441" s="1" t="s">
        <v>15</v>
      </c>
      <c r="J441" s="1">
        <v>8</v>
      </c>
      <c r="K441" s="1" t="s">
        <v>16</v>
      </c>
      <c r="L441" s="1">
        <v>3</v>
      </c>
      <c r="M441" s="1" t="s">
        <v>20</v>
      </c>
      <c r="N441" s="5">
        <f>IF(Tabulka1[[#This Row],[E-shop]]="ano",1,0)</f>
        <v>0</v>
      </c>
      <c r="O441" s="5">
        <f>IF(Tabulka1[[#This Row],[Reklamace]]="ano",1,0)</f>
        <v>1</v>
      </c>
    </row>
    <row r="442" spans="1:15" ht="15.75" customHeight="1" x14ac:dyDescent="0.3">
      <c r="A442" s="1">
        <v>257</v>
      </c>
      <c r="B442" s="2">
        <v>45560</v>
      </c>
      <c r="C442" s="1" t="s">
        <v>31</v>
      </c>
      <c r="D442" s="1" t="s">
        <v>41</v>
      </c>
      <c r="E442" s="1">
        <v>14</v>
      </c>
      <c r="F442" s="1">
        <v>5000</v>
      </c>
      <c r="G442" s="1">
        <v>70000</v>
      </c>
      <c r="H442" s="1">
        <v>11180</v>
      </c>
      <c r="I442" s="1" t="s">
        <v>15</v>
      </c>
      <c r="J442" s="1">
        <v>3</v>
      </c>
      <c r="K442" s="1" t="s">
        <v>15</v>
      </c>
      <c r="L442" s="1">
        <v>7</v>
      </c>
      <c r="M442" s="1" t="s">
        <v>20</v>
      </c>
      <c r="N442" s="5">
        <f>IF(Tabulka1[[#This Row],[E-shop]]="ano",1,0)</f>
        <v>0</v>
      </c>
      <c r="O442" s="5">
        <f>IF(Tabulka1[[#This Row],[Reklamace]]="ano",1,0)</f>
        <v>0</v>
      </c>
    </row>
    <row r="443" spans="1:15" ht="15.75" customHeight="1" x14ac:dyDescent="0.3">
      <c r="A443" s="1">
        <v>272</v>
      </c>
      <c r="B443" s="2">
        <v>45528</v>
      </c>
      <c r="C443" s="1" t="s">
        <v>36</v>
      </c>
      <c r="D443" s="1" t="s">
        <v>24</v>
      </c>
      <c r="E443" s="1">
        <v>10</v>
      </c>
      <c r="F443" s="1">
        <v>7000</v>
      </c>
      <c r="G443" s="1">
        <v>70000</v>
      </c>
      <c r="H443" s="1">
        <v>12355</v>
      </c>
      <c r="I443" s="1" t="s">
        <v>15</v>
      </c>
      <c r="J443" s="1">
        <v>9</v>
      </c>
      <c r="K443" s="1" t="s">
        <v>16</v>
      </c>
      <c r="L443" s="1">
        <v>2</v>
      </c>
      <c r="M443" s="1" t="s">
        <v>20</v>
      </c>
      <c r="N443" s="5">
        <f>IF(Tabulka1[[#This Row],[E-shop]]="ano",1,0)</f>
        <v>0</v>
      </c>
      <c r="O443" s="5">
        <f>IF(Tabulka1[[#This Row],[Reklamace]]="ano",1,0)</f>
        <v>1</v>
      </c>
    </row>
    <row r="444" spans="1:15" ht="15.75" customHeight="1" x14ac:dyDescent="0.3">
      <c r="A444" s="1">
        <v>296</v>
      </c>
      <c r="B444" s="2">
        <v>45950</v>
      </c>
      <c r="C444" s="1" t="s">
        <v>31</v>
      </c>
      <c r="D444" s="1" t="s">
        <v>40</v>
      </c>
      <c r="E444" s="1">
        <v>5</v>
      </c>
      <c r="F444" s="1">
        <v>14000</v>
      </c>
      <c r="G444" s="1">
        <v>70000</v>
      </c>
      <c r="H444" s="1">
        <v>14600</v>
      </c>
      <c r="I444" s="1" t="s">
        <v>15</v>
      </c>
      <c r="J444" s="1">
        <v>8</v>
      </c>
      <c r="K444" s="1" t="s">
        <v>16</v>
      </c>
      <c r="L444" s="1">
        <v>3</v>
      </c>
      <c r="M444" s="1" t="s">
        <v>17</v>
      </c>
      <c r="N444" s="5">
        <f>IF(Tabulka1[[#This Row],[E-shop]]="ano",1,0)</f>
        <v>0</v>
      </c>
      <c r="O444" s="5">
        <f>IF(Tabulka1[[#This Row],[Reklamace]]="ano",1,0)</f>
        <v>1</v>
      </c>
    </row>
    <row r="445" spans="1:15" ht="15.75" customHeight="1" x14ac:dyDescent="0.3">
      <c r="A445" s="1">
        <v>309</v>
      </c>
      <c r="B445" s="2">
        <v>45767</v>
      </c>
      <c r="C445" s="1" t="s">
        <v>18</v>
      </c>
      <c r="D445" s="1" t="s">
        <v>40</v>
      </c>
      <c r="E445" s="1">
        <v>5</v>
      </c>
      <c r="F445" s="1">
        <v>14000</v>
      </c>
      <c r="G445" s="1">
        <v>70000</v>
      </c>
      <c r="H445" s="1">
        <v>14020</v>
      </c>
      <c r="I445" s="1" t="s">
        <v>15</v>
      </c>
      <c r="J445" s="1">
        <v>8</v>
      </c>
      <c r="K445" s="1" t="s">
        <v>15</v>
      </c>
      <c r="L445" s="1">
        <v>2</v>
      </c>
      <c r="M445" s="1" t="s">
        <v>17</v>
      </c>
      <c r="N445" s="5">
        <f>IF(Tabulka1[[#This Row],[E-shop]]="ano",1,0)</f>
        <v>0</v>
      </c>
      <c r="O445" s="5">
        <f>IF(Tabulka1[[#This Row],[Reklamace]]="ano",1,0)</f>
        <v>0</v>
      </c>
    </row>
    <row r="446" spans="1:15" ht="15.75" customHeight="1" x14ac:dyDescent="0.3">
      <c r="A446" s="1">
        <v>310</v>
      </c>
      <c r="B446" s="2">
        <v>45749</v>
      </c>
      <c r="C446" s="1" t="s">
        <v>18</v>
      </c>
      <c r="D446" s="1" t="s">
        <v>24</v>
      </c>
      <c r="E446" s="1">
        <v>10</v>
      </c>
      <c r="F446" s="1">
        <v>7000</v>
      </c>
      <c r="G446" s="1">
        <v>70000</v>
      </c>
      <c r="H446" s="1">
        <v>11711</v>
      </c>
      <c r="I446" s="1" t="s">
        <v>15</v>
      </c>
      <c r="J446" s="1">
        <v>8</v>
      </c>
      <c r="K446" s="1" t="s">
        <v>16</v>
      </c>
      <c r="L446" s="1">
        <v>3</v>
      </c>
      <c r="M446" s="1" t="s">
        <v>20</v>
      </c>
      <c r="N446" s="5">
        <f>IF(Tabulka1[[#This Row],[E-shop]]="ano",1,0)</f>
        <v>0</v>
      </c>
      <c r="O446" s="5">
        <f>IF(Tabulka1[[#This Row],[Reklamace]]="ano",1,0)</f>
        <v>1</v>
      </c>
    </row>
    <row r="447" spans="1:15" ht="15.75" customHeight="1" x14ac:dyDescent="0.3">
      <c r="A447" s="1">
        <v>326</v>
      </c>
      <c r="B447" s="2">
        <v>45793</v>
      </c>
      <c r="C447" s="1" t="s">
        <v>36</v>
      </c>
      <c r="D447" s="1" t="s">
        <v>42</v>
      </c>
      <c r="E447" s="1">
        <v>10</v>
      </c>
      <c r="F447" s="1">
        <v>7000</v>
      </c>
      <c r="G447" s="1">
        <v>70000</v>
      </c>
      <c r="H447" s="1">
        <v>14934</v>
      </c>
      <c r="I447" s="1" t="s">
        <v>15</v>
      </c>
      <c r="J447" s="1">
        <v>6</v>
      </c>
      <c r="K447" s="1" t="s">
        <v>15</v>
      </c>
      <c r="L447" s="1">
        <v>5</v>
      </c>
      <c r="M447" s="1" t="s">
        <v>20</v>
      </c>
      <c r="N447" s="5">
        <f>IF(Tabulka1[[#This Row],[E-shop]]="ano",1,0)</f>
        <v>0</v>
      </c>
      <c r="O447" s="5">
        <f>IF(Tabulka1[[#This Row],[Reklamace]]="ano",1,0)</f>
        <v>0</v>
      </c>
    </row>
    <row r="448" spans="1:15" ht="15.75" customHeight="1" x14ac:dyDescent="0.3">
      <c r="A448" s="1">
        <v>335</v>
      </c>
      <c r="B448" s="2">
        <v>45884</v>
      </c>
      <c r="C448" s="1" t="s">
        <v>18</v>
      </c>
      <c r="D448" s="1" t="s">
        <v>40</v>
      </c>
      <c r="E448" s="1">
        <v>5</v>
      </c>
      <c r="F448" s="1">
        <v>14000</v>
      </c>
      <c r="G448" s="1">
        <v>70000</v>
      </c>
      <c r="H448" s="1">
        <v>20325</v>
      </c>
      <c r="I448" s="1" t="s">
        <v>15</v>
      </c>
      <c r="J448" s="1">
        <v>7</v>
      </c>
      <c r="K448" s="1" t="s">
        <v>16</v>
      </c>
      <c r="L448" s="1">
        <v>2</v>
      </c>
      <c r="M448" s="1" t="s">
        <v>20</v>
      </c>
      <c r="N448" s="5">
        <f>IF(Tabulka1[[#This Row],[E-shop]]="ano",1,0)</f>
        <v>0</v>
      </c>
      <c r="O448" s="5">
        <f>IF(Tabulka1[[#This Row],[Reklamace]]="ano",1,0)</f>
        <v>1</v>
      </c>
    </row>
    <row r="449" spans="1:15" ht="15.75" customHeight="1" x14ac:dyDescent="0.3">
      <c r="A449" s="1">
        <v>381</v>
      </c>
      <c r="B449" s="2">
        <v>45446</v>
      </c>
      <c r="C449" s="1" t="s">
        <v>18</v>
      </c>
      <c r="D449" s="1" t="s">
        <v>41</v>
      </c>
      <c r="E449" s="1">
        <v>14</v>
      </c>
      <c r="F449" s="1">
        <v>5000</v>
      </c>
      <c r="G449" s="1">
        <v>70000</v>
      </c>
      <c r="H449" s="1">
        <v>18738</v>
      </c>
      <c r="I449" s="1" t="s">
        <v>15</v>
      </c>
      <c r="J449" s="1">
        <v>7</v>
      </c>
      <c r="K449" s="1" t="s">
        <v>16</v>
      </c>
      <c r="L449" s="1">
        <v>1</v>
      </c>
      <c r="M449" s="1" t="s">
        <v>20</v>
      </c>
      <c r="N449" s="5">
        <f>IF(Tabulka1[[#This Row],[E-shop]]="ano",1,0)</f>
        <v>0</v>
      </c>
      <c r="O449" s="5">
        <f>IF(Tabulka1[[#This Row],[Reklamace]]="ano",1,0)</f>
        <v>1</v>
      </c>
    </row>
    <row r="450" spans="1:15" ht="15.75" customHeight="1" x14ac:dyDescent="0.3">
      <c r="A450" s="1">
        <v>504</v>
      </c>
      <c r="B450" s="2">
        <v>45937</v>
      </c>
      <c r="C450" s="1" t="s">
        <v>36</v>
      </c>
      <c r="D450" s="1" t="s">
        <v>40</v>
      </c>
      <c r="E450" s="1">
        <v>5</v>
      </c>
      <c r="F450" s="1">
        <v>14000</v>
      </c>
      <c r="G450" s="1">
        <v>70000</v>
      </c>
      <c r="H450" s="1">
        <v>16829</v>
      </c>
      <c r="I450" s="1" t="s">
        <v>15</v>
      </c>
      <c r="J450" s="1">
        <v>6</v>
      </c>
      <c r="K450" s="1" t="s">
        <v>16</v>
      </c>
      <c r="L450" s="1">
        <v>4</v>
      </c>
      <c r="M450" s="1" t="s">
        <v>17</v>
      </c>
      <c r="N450" s="5">
        <f>IF(Tabulka1[[#This Row],[E-shop]]="ano",1,0)</f>
        <v>0</v>
      </c>
      <c r="O450" s="5">
        <f>IF(Tabulka1[[#This Row],[Reklamace]]="ano",1,0)</f>
        <v>1</v>
      </c>
    </row>
    <row r="451" spans="1:15" ht="15.75" customHeight="1" x14ac:dyDescent="0.3">
      <c r="A451" s="1">
        <v>533</v>
      </c>
      <c r="B451" s="2">
        <v>45459</v>
      </c>
      <c r="C451" s="1" t="s">
        <v>21</v>
      </c>
      <c r="D451" s="1" t="s">
        <v>44</v>
      </c>
      <c r="E451" s="1">
        <v>7</v>
      </c>
      <c r="F451" s="1">
        <v>10000</v>
      </c>
      <c r="G451" s="1">
        <v>70000</v>
      </c>
      <c r="H451" s="1">
        <v>13440</v>
      </c>
      <c r="I451" s="1" t="s">
        <v>15</v>
      </c>
      <c r="J451" s="1">
        <v>3</v>
      </c>
      <c r="K451" s="1" t="s">
        <v>15</v>
      </c>
      <c r="L451" s="1">
        <v>6</v>
      </c>
      <c r="M451" s="1" t="s">
        <v>20</v>
      </c>
      <c r="N451" s="5">
        <f>IF(Tabulka1[[#This Row],[E-shop]]="ano",1,0)</f>
        <v>0</v>
      </c>
      <c r="O451" s="5">
        <f>IF(Tabulka1[[#This Row],[Reklamace]]="ano",1,0)</f>
        <v>0</v>
      </c>
    </row>
    <row r="452" spans="1:15" ht="15.75" customHeight="1" x14ac:dyDescent="0.3">
      <c r="A452" s="1">
        <v>579</v>
      </c>
      <c r="B452" s="2">
        <v>45463</v>
      </c>
      <c r="C452" s="1" t="s">
        <v>23</v>
      </c>
      <c r="D452" s="1" t="s">
        <v>40</v>
      </c>
      <c r="E452" s="1">
        <v>5</v>
      </c>
      <c r="F452" s="1">
        <v>14000</v>
      </c>
      <c r="G452" s="1">
        <v>70000</v>
      </c>
      <c r="H452" s="1">
        <v>12997</v>
      </c>
      <c r="I452" s="1" t="s">
        <v>15</v>
      </c>
      <c r="J452" s="1">
        <v>2</v>
      </c>
      <c r="K452" s="1" t="s">
        <v>15</v>
      </c>
      <c r="L452" s="1">
        <v>8</v>
      </c>
      <c r="M452" s="1" t="s">
        <v>20</v>
      </c>
      <c r="N452" s="5">
        <f>IF(Tabulka1[[#This Row],[E-shop]]="ano",1,0)</f>
        <v>0</v>
      </c>
      <c r="O452" s="5">
        <f>IF(Tabulka1[[#This Row],[Reklamace]]="ano",1,0)</f>
        <v>0</v>
      </c>
    </row>
    <row r="453" spans="1:15" ht="15.75" customHeight="1" x14ac:dyDescent="0.3">
      <c r="A453" s="1">
        <v>658</v>
      </c>
      <c r="B453" s="2">
        <v>45717</v>
      </c>
      <c r="C453" s="1" t="s">
        <v>23</v>
      </c>
      <c r="D453" s="1" t="s">
        <v>40</v>
      </c>
      <c r="E453" s="1">
        <v>5</v>
      </c>
      <c r="F453" s="1">
        <v>14000</v>
      </c>
      <c r="G453" s="1">
        <v>70000</v>
      </c>
      <c r="H453" s="1">
        <v>20642</v>
      </c>
      <c r="I453" s="1" t="s">
        <v>16</v>
      </c>
      <c r="J453" s="1">
        <v>5</v>
      </c>
      <c r="K453" s="1" t="s">
        <v>16</v>
      </c>
      <c r="L453" s="1">
        <v>4</v>
      </c>
      <c r="M453" s="1" t="s">
        <v>17</v>
      </c>
      <c r="N453" s="5">
        <f>IF(Tabulka1[[#This Row],[E-shop]]="ano",1,0)</f>
        <v>1</v>
      </c>
      <c r="O453" s="5">
        <f>IF(Tabulka1[[#This Row],[Reklamace]]="ano",1,0)</f>
        <v>1</v>
      </c>
    </row>
    <row r="454" spans="1:15" ht="15.75" customHeight="1" x14ac:dyDescent="0.3">
      <c r="A454" s="1">
        <v>663</v>
      </c>
      <c r="B454" s="2">
        <v>45376</v>
      </c>
      <c r="C454" s="1" t="s">
        <v>23</v>
      </c>
      <c r="D454" s="1" t="s">
        <v>32</v>
      </c>
      <c r="E454" s="1">
        <v>7</v>
      </c>
      <c r="F454" s="1">
        <v>10000</v>
      </c>
      <c r="G454" s="1">
        <v>70000</v>
      </c>
      <c r="H454" s="1">
        <v>15528</v>
      </c>
      <c r="I454" s="1" t="s">
        <v>15</v>
      </c>
      <c r="J454" s="1">
        <v>3</v>
      </c>
      <c r="K454" s="1" t="s">
        <v>15</v>
      </c>
      <c r="L454" s="1">
        <v>6</v>
      </c>
      <c r="M454" s="1" t="s">
        <v>20</v>
      </c>
      <c r="N454" s="5">
        <f>IF(Tabulka1[[#This Row],[E-shop]]="ano",1,0)</f>
        <v>0</v>
      </c>
      <c r="O454" s="5">
        <f>IF(Tabulka1[[#This Row],[Reklamace]]="ano",1,0)</f>
        <v>0</v>
      </c>
    </row>
    <row r="455" spans="1:15" ht="15.75" customHeight="1" x14ac:dyDescent="0.3">
      <c r="A455" s="1">
        <v>674</v>
      </c>
      <c r="B455" s="2">
        <v>45402</v>
      </c>
      <c r="C455" s="1" t="s">
        <v>21</v>
      </c>
      <c r="D455" s="1" t="s">
        <v>32</v>
      </c>
      <c r="E455" s="1">
        <v>7</v>
      </c>
      <c r="F455" s="1">
        <v>10000</v>
      </c>
      <c r="G455" s="1">
        <v>70000</v>
      </c>
      <c r="H455" s="1">
        <v>13395</v>
      </c>
      <c r="I455" s="1" t="s">
        <v>16</v>
      </c>
      <c r="J455" s="1">
        <v>2</v>
      </c>
      <c r="K455" s="1" t="s">
        <v>15</v>
      </c>
      <c r="L455" s="1">
        <v>6</v>
      </c>
      <c r="M455" s="1" t="s">
        <v>20</v>
      </c>
      <c r="N455" s="5">
        <f>IF(Tabulka1[[#This Row],[E-shop]]="ano",1,0)</f>
        <v>1</v>
      </c>
      <c r="O455" s="5">
        <f>IF(Tabulka1[[#This Row],[Reklamace]]="ano",1,0)</f>
        <v>0</v>
      </c>
    </row>
    <row r="456" spans="1:15" ht="15.75" customHeight="1" x14ac:dyDescent="0.3">
      <c r="A456" s="1">
        <v>728</v>
      </c>
      <c r="B456" s="2">
        <v>45848</v>
      </c>
      <c r="C456" s="1" t="s">
        <v>13</v>
      </c>
      <c r="D456" s="1" t="s">
        <v>44</v>
      </c>
      <c r="E456" s="1">
        <v>7</v>
      </c>
      <c r="F456" s="1">
        <v>10000</v>
      </c>
      <c r="G456" s="1">
        <v>70000</v>
      </c>
      <c r="H456" s="1">
        <v>16629</v>
      </c>
      <c r="I456" s="1" t="s">
        <v>15</v>
      </c>
      <c r="J456" s="1">
        <v>4</v>
      </c>
      <c r="K456" s="1" t="s">
        <v>15</v>
      </c>
      <c r="L456" s="1">
        <v>7</v>
      </c>
      <c r="M456" s="1" t="s">
        <v>20</v>
      </c>
      <c r="N456" s="5">
        <f>IF(Tabulka1[[#This Row],[E-shop]]="ano",1,0)</f>
        <v>0</v>
      </c>
      <c r="O456" s="5">
        <f>IF(Tabulka1[[#This Row],[Reklamace]]="ano",1,0)</f>
        <v>0</v>
      </c>
    </row>
    <row r="457" spans="1:15" ht="15.75" customHeight="1" x14ac:dyDescent="0.3">
      <c r="A457" s="1">
        <v>865</v>
      </c>
      <c r="B457" s="2">
        <v>45930</v>
      </c>
      <c r="C457" s="1" t="s">
        <v>23</v>
      </c>
      <c r="D457" s="1" t="s">
        <v>41</v>
      </c>
      <c r="E457" s="1">
        <v>14</v>
      </c>
      <c r="F457" s="1">
        <v>5000</v>
      </c>
      <c r="G457" s="1">
        <v>70000</v>
      </c>
      <c r="H457" s="1">
        <v>15791</v>
      </c>
      <c r="I457" s="1" t="s">
        <v>15</v>
      </c>
      <c r="J457" s="1">
        <v>7</v>
      </c>
      <c r="K457" s="1" t="s">
        <v>16</v>
      </c>
      <c r="L457" s="1">
        <v>1</v>
      </c>
      <c r="M457" s="1" t="s">
        <v>20</v>
      </c>
      <c r="N457" s="5">
        <f>IF(Tabulka1[[#This Row],[E-shop]]="ano",1,0)</f>
        <v>0</v>
      </c>
      <c r="O457" s="5">
        <f>IF(Tabulka1[[#This Row],[Reklamace]]="ano",1,0)</f>
        <v>1</v>
      </c>
    </row>
    <row r="458" spans="1:15" ht="15.75" customHeight="1" x14ac:dyDescent="0.3">
      <c r="A458" s="1">
        <v>941</v>
      </c>
      <c r="B458" s="2">
        <v>45822</v>
      </c>
      <c r="C458" s="1" t="s">
        <v>31</v>
      </c>
      <c r="D458" s="1" t="s">
        <v>32</v>
      </c>
      <c r="E458" s="1">
        <v>7</v>
      </c>
      <c r="F458" s="1">
        <v>10000</v>
      </c>
      <c r="G458" s="1">
        <v>70000</v>
      </c>
      <c r="H458" s="1">
        <v>11590</v>
      </c>
      <c r="I458" s="1" t="s">
        <v>15</v>
      </c>
      <c r="J458" s="1">
        <v>6</v>
      </c>
      <c r="K458" s="1" t="s">
        <v>16</v>
      </c>
      <c r="L458" s="1">
        <v>2</v>
      </c>
      <c r="M458" s="1" t="s">
        <v>20</v>
      </c>
      <c r="N458" s="5">
        <f>IF(Tabulka1[[#This Row],[E-shop]]="ano",1,0)</f>
        <v>0</v>
      </c>
      <c r="O458" s="5">
        <f>IF(Tabulka1[[#This Row],[Reklamace]]="ano",1,0)</f>
        <v>1</v>
      </c>
    </row>
    <row r="459" spans="1:15" ht="15.75" customHeight="1" x14ac:dyDescent="0.3">
      <c r="A459" s="1">
        <v>963</v>
      </c>
      <c r="B459" s="2">
        <v>45691</v>
      </c>
      <c r="C459" s="1" t="s">
        <v>13</v>
      </c>
      <c r="D459" s="1" t="s">
        <v>42</v>
      </c>
      <c r="E459" s="1">
        <v>10</v>
      </c>
      <c r="F459" s="1">
        <v>7000</v>
      </c>
      <c r="G459" s="1">
        <v>70000</v>
      </c>
      <c r="H459" s="1">
        <v>20774</v>
      </c>
      <c r="I459" s="1" t="s">
        <v>15</v>
      </c>
      <c r="J459" s="1">
        <v>9</v>
      </c>
      <c r="K459" s="1" t="s">
        <v>16</v>
      </c>
      <c r="L459" s="1">
        <v>1</v>
      </c>
      <c r="M459" s="1" t="s">
        <v>20</v>
      </c>
      <c r="N459" s="5">
        <f>IF(Tabulka1[[#This Row],[E-shop]]="ano",1,0)</f>
        <v>0</v>
      </c>
      <c r="O459" s="5">
        <f>IF(Tabulka1[[#This Row],[Reklamace]]="ano",1,0)</f>
        <v>1</v>
      </c>
    </row>
    <row r="460" spans="1:15" ht="15.75" customHeight="1" x14ac:dyDescent="0.3">
      <c r="A460" s="1">
        <v>89</v>
      </c>
      <c r="B460" s="2">
        <v>45435</v>
      </c>
      <c r="C460" s="1" t="s">
        <v>23</v>
      </c>
      <c r="D460" s="1" t="s">
        <v>33</v>
      </c>
      <c r="E460" s="1">
        <v>11</v>
      </c>
      <c r="F460" s="1">
        <v>6000</v>
      </c>
      <c r="G460" s="1">
        <v>66000</v>
      </c>
      <c r="H460" s="1">
        <v>18208</v>
      </c>
      <c r="I460" s="1" t="s">
        <v>16</v>
      </c>
      <c r="J460" s="1">
        <v>3</v>
      </c>
      <c r="K460" s="1" t="s">
        <v>15</v>
      </c>
      <c r="L460" s="1">
        <v>7</v>
      </c>
      <c r="M460" s="1" t="s">
        <v>20</v>
      </c>
      <c r="N460" s="5">
        <f>IF(Tabulka1[[#This Row],[E-shop]]="ano",1,0)</f>
        <v>1</v>
      </c>
      <c r="O460" s="5">
        <f>IF(Tabulka1[[#This Row],[Reklamace]]="ano",1,0)</f>
        <v>0</v>
      </c>
    </row>
    <row r="461" spans="1:15" ht="15.75" customHeight="1" x14ac:dyDescent="0.3">
      <c r="A461" s="1">
        <v>264</v>
      </c>
      <c r="B461" s="2">
        <v>45701</v>
      </c>
      <c r="C461" s="1" t="s">
        <v>25</v>
      </c>
      <c r="D461" s="1" t="s">
        <v>33</v>
      </c>
      <c r="E461" s="1">
        <v>11</v>
      </c>
      <c r="F461" s="1">
        <v>6000</v>
      </c>
      <c r="G461" s="1">
        <v>66000</v>
      </c>
      <c r="H461" s="1">
        <v>11336</v>
      </c>
      <c r="I461" s="1" t="s">
        <v>15</v>
      </c>
      <c r="J461" s="1">
        <v>7</v>
      </c>
      <c r="K461" s="1" t="s">
        <v>16</v>
      </c>
      <c r="L461" s="1">
        <v>4</v>
      </c>
      <c r="M461" s="1" t="s">
        <v>20</v>
      </c>
      <c r="N461" s="5">
        <f>IF(Tabulka1[[#This Row],[E-shop]]="ano",1,0)</f>
        <v>0</v>
      </c>
      <c r="O461" s="5">
        <f>IF(Tabulka1[[#This Row],[Reklamace]]="ano",1,0)</f>
        <v>1</v>
      </c>
    </row>
    <row r="462" spans="1:15" ht="15.75" customHeight="1" x14ac:dyDescent="0.3">
      <c r="A462" s="1">
        <v>364</v>
      </c>
      <c r="B462" s="2">
        <v>45541</v>
      </c>
      <c r="C462" s="1" t="s">
        <v>21</v>
      </c>
      <c r="D462" s="1" t="s">
        <v>48</v>
      </c>
      <c r="E462" s="1">
        <v>3</v>
      </c>
      <c r="F462" s="1">
        <v>22000</v>
      </c>
      <c r="G462" s="1">
        <v>66000</v>
      </c>
      <c r="H462" s="1">
        <v>12485</v>
      </c>
      <c r="I462" s="1" t="s">
        <v>15</v>
      </c>
      <c r="J462" s="1">
        <v>3</v>
      </c>
      <c r="K462" s="1" t="s">
        <v>15</v>
      </c>
      <c r="L462" s="1">
        <v>7</v>
      </c>
      <c r="M462" s="1" t="s">
        <v>20</v>
      </c>
      <c r="N462" s="5">
        <f>IF(Tabulka1[[#This Row],[E-shop]]="ano",1,0)</f>
        <v>0</v>
      </c>
      <c r="O462" s="5">
        <f>IF(Tabulka1[[#This Row],[Reklamace]]="ano",1,0)</f>
        <v>0</v>
      </c>
    </row>
    <row r="463" spans="1:15" ht="15.75" customHeight="1" x14ac:dyDescent="0.3">
      <c r="A463" s="1">
        <v>572</v>
      </c>
      <c r="B463" s="2">
        <v>45546</v>
      </c>
      <c r="C463" s="1" t="s">
        <v>23</v>
      </c>
      <c r="D463" s="1" t="s">
        <v>43</v>
      </c>
      <c r="E463" s="1">
        <v>6</v>
      </c>
      <c r="F463" s="1">
        <v>11000</v>
      </c>
      <c r="G463" s="1">
        <v>66000</v>
      </c>
      <c r="H463" s="1">
        <v>17344</v>
      </c>
      <c r="I463" s="1" t="s">
        <v>16</v>
      </c>
      <c r="J463" s="1">
        <v>3</v>
      </c>
      <c r="K463" s="1" t="s">
        <v>15</v>
      </c>
      <c r="L463" s="1">
        <v>6</v>
      </c>
      <c r="M463" s="1" t="s">
        <v>20</v>
      </c>
      <c r="N463" s="5">
        <f>IF(Tabulka1[[#This Row],[E-shop]]="ano",1,0)</f>
        <v>1</v>
      </c>
      <c r="O463" s="5">
        <f>IF(Tabulka1[[#This Row],[Reklamace]]="ano",1,0)</f>
        <v>0</v>
      </c>
    </row>
    <row r="464" spans="1:15" ht="15.75" customHeight="1" x14ac:dyDescent="0.3">
      <c r="A464" s="1">
        <v>580</v>
      </c>
      <c r="B464" s="2">
        <v>45898</v>
      </c>
      <c r="C464" s="1" t="s">
        <v>21</v>
      </c>
      <c r="D464" s="1" t="s">
        <v>33</v>
      </c>
      <c r="E464" s="1">
        <v>11</v>
      </c>
      <c r="F464" s="1">
        <v>6000</v>
      </c>
      <c r="G464" s="1">
        <v>66000</v>
      </c>
      <c r="H464" s="1">
        <v>13830</v>
      </c>
      <c r="I464" s="1" t="s">
        <v>15</v>
      </c>
      <c r="J464" s="1">
        <v>3</v>
      </c>
      <c r="K464" s="1" t="s">
        <v>15</v>
      </c>
      <c r="L464" s="1">
        <v>5</v>
      </c>
      <c r="M464" s="1" t="s">
        <v>20</v>
      </c>
      <c r="N464" s="5">
        <f>IF(Tabulka1[[#This Row],[E-shop]]="ano",1,0)</f>
        <v>0</v>
      </c>
      <c r="O464" s="5">
        <f>IF(Tabulka1[[#This Row],[Reklamace]]="ano",1,0)</f>
        <v>0</v>
      </c>
    </row>
    <row r="465" spans="1:15" ht="15.75" customHeight="1" x14ac:dyDescent="0.3">
      <c r="A465" s="1">
        <v>705</v>
      </c>
      <c r="B465" s="2">
        <v>45974</v>
      </c>
      <c r="C465" s="1" t="s">
        <v>18</v>
      </c>
      <c r="D465" s="1" t="s">
        <v>43</v>
      </c>
      <c r="E465" s="1">
        <v>6</v>
      </c>
      <c r="F465" s="1">
        <v>11000</v>
      </c>
      <c r="G465" s="1">
        <v>66000</v>
      </c>
      <c r="H465" s="1">
        <v>18978</v>
      </c>
      <c r="I465" s="1" t="s">
        <v>15</v>
      </c>
      <c r="J465" s="1">
        <v>8</v>
      </c>
      <c r="K465" s="1" t="s">
        <v>16</v>
      </c>
      <c r="L465" s="1">
        <v>2</v>
      </c>
      <c r="M465" s="1" t="s">
        <v>20</v>
      </c>
      <c r="N465" s="5">
        <f>IF(Tabulka1[[#This Row],[E-shop]]="ano",1,0)</f>
        <v>0</v>
      </c>
      <c r="O465" s="5">
        <f>IF(Tabulka1[[#This Row],[Reklamace]]="ano",1,0)</f>
        <v>1</v>
      </c>
    </row>
    <row r="466" spans="1:15" ht="15.75" customHeight="1" x14ac:dyDescent="0.3">
      <c r="A466" s="1">
        <v>223</v>
      </c>
      <c r="B466" s="2">
        <v>45826</v>
      </c>
      <c r="C466" s="1" t="s">
        <v>36</v>
      </c>
      <c r="D466" s="1" t="s">
        <v>41</v>
      </c>
      <c r="E466" s="1">
        <v>13</v>
      </c>
      <c r="F466" s="1">
        <v>5000</v>
      </c>
      <c r="G466" s="1">
        <v>65000</v>
      </c>
      <c r="H466" s="1">
        <v>12329</v>
      </c>
      <c r="I466" s="1" t="s">
        <v>15</v>
      </c>
      <c r="J466" s="1">
        <v>4</v>
      </c>
      <c r="K466" s="1" t="s">
        <v>15</v>
      </c>
      <c r="L466" s="1">
        <v>6</v>
      </c>
      <c r="M466" s="1" t="s">
        <v>20</v>
      </c>
      <c r="N466" s="5">
        <f>IF(Tabulka1[[#This Row],[E-shop]]="ano",1,0)</f>
        <v>0</v>
      </c>
      <c r="O466" s="5">
        <f>IF(Tabulka1[[#This Row],[Reklamace]]="ano",1,0)</f>
        <v>0</v>
      </c>
    </row>
    <row r="467" spans="1:15" ht="15.75" customHeight="1" x14ac:dyDescent="0.3">
      <c r="A467" s="1">
        <v>254</v>
      </c>
      <c r="B467" s="2">
        <v>45734</v>
      </c>
      <c r="C467" s="1" t="s">
        <v>21</v>
      </c>
      <c r="D467" s="1" t="s">
        <v>41</v>
      </c>
      <c r="E467" s="1">
        <v>13</v>
      </c>
      <c r="F467" s="1">
        <v>5000</v>
      </c>
      <c r="G467" s="1">
        <v>65000</v>
      </c>
      <c r="H467" s="1">
        <v>13169</v>
      </c>
      <c r="I467" s="1" t="s">
        <v>15</v>
      </c>
      <c r="J467" s="1">
        <v>7</v>
      </c>
      <c r="K467" s="1" t="s">
        <v>16</v>
      </c>
      <c r="L467" s="1">
        <v>1</v>
      </c>
      <c r="M467" s="1" t="s">
        <v>20</v>
      </c>
      <c r="N467" s="5">
        <f>IF(Tabulka1[[#This Row],[E-shop]]="ano",1,0)</f>
        <v>0</v>
      </c>
      <c r="O467" s="5">
        <f>IF(Tabulka1[[#This Row],[Reklamace]]="ano",1,0)</f>
        <v>1</v>
      </c>
    </row>
    <row r="468" spans="1:15" ht="15.75" customHeight="1" x14ac:dyDescent="0.3">
      <c r="A468" s="1">
        <v>808</v>
      </c>
      <c r="B468" s="2">
        <v>45461</v>
      </c>
      <c r="C468" s="1" t="s">
        <v>21</v>
      </c>
      <c r="D468" s="1" t="s">
        <v>41</v>
      </c>
      <c r="E468" s="1">
        <v>13</v>
      </c>
      <c r="F468" s="1">
        <v>5000</v>
      </c>
      <c r="G468" s="1">
        <v>65000</v>
      </c>
      <c r="H468" s="1">
        <v>13557</v>
      </c>
      <c r="I468" s="1" t="s">
        <v>16</v>
      </c>
      <c r="J468" s="1">
        <v>7</v>
      </c>
      <c r="K468" s="1" t="s">
        <v>16</v>
      </c>
      <c r="L468" s="1">
        <v>1</v>
      </c>
      <c r="M468" s="1" t="s">
        <v>20</v>
      </c>
      <c r="N468" s="5">
        <f>IF(Tabulka1[[#This Row],[E-shop]]="ano",1,0)</f>
        <v>1</v>
      </c>
      <c r="O468" s="5">
        <f>IF(Tabulka1[[#This Row],[Reklamace]]="ano",1,0)</f>
        <v>1</v>
      </c>
    </row>
    <row r="469" spans="1:15" ht="15.75" customHeight="1" x14ac:dyDescent="0.3">
      <c r="A469" s="1">
        <v>947</v>
      </c>
      <c r="B469" s="2">
        <v>45376</v>
      </c>
      <c r="C469" s="1" t="s">
        <v>13</v>
      </c>
      <c r="D469" s="1" t="s">
        <v>41</v>
      </c>
      <c r="E469" s="1">
        <v>13</v>
      </c>
      <c r="F469" s="1">
        <v>5000</v>
      </c>
      <c r="G469" s="1">
        <v>65000</v>
      </c>
      <c r="H469" s="1">
        <v>15269</v>
      </c>
      <c r="I469" s="1" t="s">
        <v>16</v>
      </c>
      <c r="J469" s="1">
        <v>3</v>
      </c>
      <c r="K469" s="1" t="s">
        <v>15</v>
      </c>
      <c r="L469" s="1">
        <v>8</v>
      </c>
      <c r="M469" s="1" t="s">
        <v>20</v>
      </c>
      <c r="N469" s="5">
        <f>IF(Tabulka1[[#This Row],[E-shop]]="ano",1,0)</f>
        <v>1</v>
      </c>
      <c r="O469" s="5">
        <f>IF(Tabulka1[[#This Row],[Reklamace]]="ano",1,0)</f>
        <v>0</v>
      </c>
    </row>
    <row r="470" spans="1:15" ht="15.75" customHeight="1" x14ac:dyDescent="0.3">
      <c r="A470" s="1">
        <v>412</v>
      </c>
      <c r="B470" s="2">
        <v>45599</v>
      </c>
      <c r="C470" s="1" t="s">
        <v>36</v>
      </c>
      <c r="D470" s="1" t="s">
        <v>30</v>
      </c>
      <c r="E470" s="1">
        <v>8</v>
      </c>
      <c r="F470" s="1">
        <v>8000</v>
      </c>
      <c r="G470" s="1">
        <v>64000</v>
      </c>
      <c r="H470" s="1">
        <v>17128</v>
      </c>
      <c r="I470" s="1" t="s">
        <v>15</v>
      </c>
      <c r="J470" s="1">
        <v>4</v>
      </c>
      <c r="K470" s="1" t="s">
        <v>15</v>
      </c>
      <c r="L470" s="1">
        <v>5</v>
      </c>
      <c r="M470" s="1" t="s">
        <v>20</v>
      </c>
      <c r="N470" s="5">
        <f>IF(Tabulka1[[#This Row],[E-shop]]="ano",1,0)</f>
        <v>0</v>
      </c>
      <c r="O470" s="5">
        <f>IF(Tabulka1[[#This Row],[Reklamace]]="ano",1,0)</f>
        <v>0</v>
      </c>
    </row>
    <row r="471" spans="1:15" ht="15.75" customHeight="1" x14ac:dyDescent="0.3">
      <c r="A471" s="1">
        <v>30</v>
      </c>
      <c r="B471" s="2">
        <v>45782</v>
      </c>
      <c r="C471" s="1" t="s">
        <v>23</v>
      </c>
      <c r="D471" s="1" t="s">
        <v>37</v>
      </c>
      <c r="E471" s="1">
        <v>9</v>
      </c>
      <c r="F471" s="1">
        <v>7000</v>
      </c>
      <c r="G471" s="1">
        <v>63000</v>
      </c>
      <c r="H471" s="1">
        <v>13491</v>
      </c>
      <c r="I471" s="1" t="s">
        <v>15</v>
      </c>
      <c r="J471" s="1">
        <v>5</v>
      </c>
      <c r="K471" s="1" t="s">
        <v>15</v>
      </c>
      <c r="L471" s="1">
        <v>3</v>
      </c>
      <c r="M471" s="1" t="s">
        <v>20</v>
      </c>
      <c r="N471" s="5">
        <f>IF(Tabulka1[[#This Row],[E-shop]]="ano",1,0)</f>
        <v>0</v>
      </c>
      <c r="O471" s="5">
        <f>IF(Tabulka1[[#This Row],[Reklamace]]="ano",1,0)</f>
        <v>0</v>
      </c>
    </row>
    <row r="472" spans="1:15" ht="15.75" customHeight="1" x14ac:dyDescent="0.3">
      <c r="A472" s="1">
        <v>112</v>
      </c>
      <c r="B472" s="2">
        <v>45827</v>
      </c>
      <c r="C472" s="1" t="s">
        <v>23</v>
      </c>
      <c r="D472" s="1" t="s">
        <v>24</v>
      </c>
      <c r="E472" s="1">
        <v>9</v>
      </c>
      <c r="F472" s="1">
        <v>7000</v>
      </c>
      <c r="G472" s="1">
        <v>63000</v>
      </c>
      <c r="H472" s="1">
        <v>15608</v>
      </c>
      <c r="I472" s="1" t="s">
        <v>15</v>
      </c>
      <c r="J472" s="1">
        <v>4</v>
      </c>
      <c r="K472" s="1" t="s">
        <v>16</v>
      </c>
      <c r="L472" s="1">
        <v>4</v>
      </c>
      <c r="M472" s="1" t="s">
        <v>20</v>
      </c>
      <c r="N472" s="5">
        <f>IF(Tabulka1[[#This Row],[E-shop]]="ano",1,0)</f>
        <v>0</v>
      </c>
      <c r="O472" s="5">
        <f>IF(Tabulka1[[#This Row],[Reklamace]]="ano",1,0)</f>
        <v>1</v>
      </c>
    </row>
    <row r="473" spans="1:15" ht="15.75" customHeight="1" x14ac:dyDescent="0.3">
      <c r="A473" s="1">
        <v>114</v>
      </c>
      <c r="B473" s="2">
        <v>45377</v>
      </c>
      <c r="C473" s="1" t="s">
        <v>13</v>
      </c>
      <c r="D473" s="1" t="s">
        <v>38</v>
      </c>
      <c r="E473" s="1">
        <v>7</v>
      </c>
      <c r="F473" s="1">
        <v>9000</v>
      </c>
      <c r="G473" s="1">
        <v>63000</v>
      </c>
      <c r="H473" s="1">
        <v>15651</v>
      </c>
      <c r="I473" s="1" t="s">
        <v>15</v>
      </c>
      <c r="J473" s="1">
        <v>6</v>
      </c>
      <c r="K473" s="1" t="s">
        <v>15</v>
      </c>
      <c r="L473" s="1">
        <v>4</v>
      </c>
      <c r="M473" s="1" t="s">
        <v>20</v>
      </c>
      <c r="N473" s="5">
        <f>IF(Tabulka1[[#This Row],[E-shop]]="ano",1,0)</f>
        <v>0</v>
      </c>
      <c r="O473" s="5">
        <f>IF(Tabulka1[[#This Row],[Reklamace]]="ano",1,0)</f>
        <v>0</v>
      </c>
    </row>
    <row r="474" spans="1:15" ht="15.75" customHeight="1" x14ac:dyDescent="0.3">
      <c r="A474" s="1">
        <v>221</v>
      </c>
      <c r="B474" s="2">
        <v>45667</v>
      </c>
      <c r="C474" s="1" t="s">
        <v>25</v>
      </c>
      <c r="D474" s="1" t="s">
        <v>24</v>
      </c>
      <c r="E474" s="1">
        <v>9</v>
      </c>
      <c r="F474" s="1">
        <v>7000</v>
      </c>
      <c r="G474" s="1">
        <v>63000</v>
      </c>
      <c r="H474" s="1">
        <v>14957</v>
      </c>
      <c r="I474" s="1" t="s">
        <v>15</v>
      </c>
      <c r="J474" s="1">
        <v>4</v>
      </c>
      <c r="K474" s="1" t="s">
        <v>15</v>
      </c>
      <c r="L474" s="1">
        <v>5</v>
      </c>
      <c r="M474" s="1" t="s">
        <v>20</v>
      </c>
      <c r="N474" s="5">
        <f>IF(Tabulka1[[#This Row],[E-shop]]="ano",1,0)</f>
        <v>0</v>
      </c>
      <c r="O474" s="5">
        <f>IF(Tabulka1[[#This Row],[Reklamace]]="ano",1,0)</f>
        <v>0</v>
      </c>
    </row>
    <row r="475" spans="1:15" ht="15.75" customHeight="1" x14ac:dyDescent="0.3">
      <c r="A475" s="1">
        <v>235</v>
      </c>
      <c r="B475" s="2">
        <v>45939</v>
      </c>
      <c r="C475" s="1" t="s">
        <v>36</v>
      </c>
      <c r="D475" s="1" t="s">
        <v>38</v>
      </c>
      <c r="E475" s="1">
        <v>7</v>
      </c>
      <c r="F475" s="1">
        <v>9000</v>
      </c>
      <c r="G475" s="1">
        <v>63000</v>
      </c>
      <c r="H475" s="1">
        <v>16300</v>
      </c>
      <c r="I475" s="1" t="s">
        <v>16</v>
      </c>
      <c r="J475" s="1">
        <v>5</v>
      </c>
      <c r="K475" s="1" t="s">
        <v>16</v>
      </c>
      <c r="L475" s="1">
        <v>4</v>
      </c>
      <c r="M475" s="1" t="s">
        <v>20</v>
      </c>
      <c r="N475" s="5">
        <f>IF(Tabulka1[[#This Row],[E-shop]]="ano",1,0)</f>
        <v>1</v>
      </c>
      <c r="O475" s="5">
        <f>IF(Tabulka1[[#This Row],[Reklamace]]="ano",1,0)</f>
        <v>1</v>
      </c>
    </row>
    <row r="476" spans="1:15" ht="15.75" customHeight="1" x14ac:dyDescent="0.3">
      <c r="A476" s="1">
        <v>291</v>
      </c>
      <c r="B476" s="2">
        <v>45674</v>
      </c>
      <c r="C476" s="1" t="s">
        <v>23</v>
      </c>
      <c r="D476" s="1" t="s">
        <v>24</v>
      </c>
      <c r="E476" s="1">
        <v>9</v>
      </c>
      <c r="F476" s="1">
        <v>7000</v>
      </c>
      <c r="G476" s="1">
        <v>63000</v>
      </c>
      <c r="H476" s="1">
        <v>12874</v>
      </c>
      <c r="I476" s="1" t="s">
        <v>15</v>
      </c>
      <c r="J476" s="1">
        <v>8</v>
      </c>
      <c r="K476" s="1" t="s">
        <v>16</v>
      </c>
      <c r="L476" s="1">
        <v>3</v>
      </c>
      <c r="M476" s="1" t="s">
        <v>20</v>
      </c>
      <c r="N476" s="5">
        <f>IF(Tabulka1[[#This Row],[E-shop]]="ano",1,0)</f>
        <v>0</v>
      </c>
      <c r="O476" s="5">
        <f>IF(Tabulka1[[#This Row],[Reklamace]]="ano",1,0)</f>
        <v>1</v>
      </c>
    </row>
    <row r="477" spans="1:15" ht="15.75" customHeight="1" x14ac:dyDescent="0.3">
      <c r="A477" s="1">
        <v>421</v>
      </c>
      <c r="B477" s="2">
        <v>45849</v>
      </c>
      <c r="C477" s="1" t="s">
        <v>25</v>
      </c>
      <c r="D477" s="1" t="s">
        <v>24</v>
      </c>
      <c r="E477" s="1">
        <v>9</v>
      </c>
      <c r="F477" s="1">
        <v>7000</v>
      </c>
      <c r="G477" s="1">
        <v>63000</v>
      </c>
      <c r="H477" s="1">
        <v>11257</v>
      </c>
      <c r="I477" s="1" t="s">
        <v>15</v>
      </c>
      <c r="J477" s="1">
        <v>4</v>
      </c>
      <c r="K477" s="1" t="s">
        <v>15</v>
      </c>
      <c r="L477" s="1">
        <v>5</v>
      </c>
      <c r="M477" s="1" t="s">
        <v>20</v>
      </c>
      <c r="N477" s="5">
        <f>IF(Tabulka1[[#This Row],[E-shop]]="ano",1,0)</f>
        <v>0</v>
      </c>
      <c r="O477" s="5">
        <f>IF(Tabulka1[[#This Row],[Reklamace]]="ano",1,0)</f>
        <v>0</v>
      </c>
    </row>
    <row r="478" spans="1:15" ht="15.75" customHeight="1" x14ac:dyDescent="0.3">
      <c r="A478" s="1">
        <v>574</v>
      </c>
      <c r="B478" s="2">
        <v>45822</v>
      </c>
      <c r="C478" s="1" t="s">
        <v>23</v>
      </c>
      <c r="D478" s="1" t="s">
        <v>37</v>
      </c>
      <c r="E478" s="1">
        <v>9</v>
      </c>
      <c r="F478" s="1">
        <v>7000</v>
      </c>
      <c r="G478" s="1">
        <v>63000</v>
      </c>
      <c r="H478" s="1">
        <v>11152</v>
      </c>
      <c r="I478" s="1" t="s">
        <v>15</v>
      </c>
      <c r="J478" s="1">
        <v>2</v>
      </c>
      <c r="K478" s="1" t="s">
        <v>15</v>
      </c>
      <c r="L478" s="1">
        <v>6</v>
      </c>
      <c r="M478" s="1" t="s">
        <v>17</v>
      </c>
      <c r="N478" s="5">
        <f>IF(Tabulka1[[#This Row],[E-shop]]="ano",1,0)</f>
        <v>0</v>
      </c>
      <c r="O478" s="5">
        <f>IF(Tabulka1[[#This Row],[Reklamace]]="ano",1,0)</f>
        <v>0</v>
      </c>
    </row>
    <row r="479" spans="1:15" ht="15.75" customHeight="1" x14ac:dyDescent="0.3">
      <c r="A479" s="1">
        <v>613</v>
      </c>
      <c r="B479" s="2">
        <v>45839</v>
      </c>
      <c r="C479" s="1" t="s">
        <v>18</v>
      </c>
      <c r="D479" s="1" t="s">
        <v>24</v>
      </c>
      <c r="E479" s="1">
        <v>9</v>
      </c>
      <c r="F479" s="1">
        <v>7000</v>
      </c>
      <c r="G479" s="1">
        <v>63000</v>
      </c>
      <c r="H479" s="1">
        <v>11122</v>
      </c>
      <c r="I479" s="1" t="s">
        <v>15</v>
      </c>
      <c r="J479" s="1">
        <v>8</v>
      </c>
      <c r="K479" s="1" t="s">
        <v>16</v>
      </c>
      <c r="L479" s="1">
        <v>3</v>
      </c>
      <c r="M479" s="1" t="s">
        <v>20</v>
      </c>
      <c r="N479" s="5">
        <f>IF(Tabulka1[[#This Row],[E-shop]]="ano",1,0)</f>
        <v>0</v>
      </c>
      <c r="O479" s="5">
        <f>IF(Tabulka1[[#This Row],[Reklamace]]="ano",1,0)</f>
        <v>1</v>
      </c>
    </row>
    <row r="480" spans="1:15" ht="15.75" customHeight="1" x14ac:dyDescent="0.3">
      <c r="A480" s="1">
        <v>686</v>
      </c>
      <c r="B480" s="2">
        <v>45795</v>
      </c>
      <c r="C480" s="1" t="s">
        <v>21</v>
      </c>
      <c r="D480" s="1" t="s">
        <v>38</v>
      </c>
      <c r="E480" s="1">
        <v>7</v>
      </c>
      <c r="F480" s="1">
        <v>9000</v>
      </c>
      <c r="G480" s="1">
        <v>63000</v>
      </c>
      <c r="H480" s="1">
        <v>15359</v>
      </c>
      <c r="I480" s="1" t="s">
        <v>16</v>
      </c>
      <c r="J480" s="1">
        <v>4</v>
      </c>
      <c r="K480" s="1" t="s">
        <v>15</v>
      </c>
      <c r="L480" s="1">
        <v>5</v>
      </c>
      <c r="M480" s="1" t="s">
        <v>20</v>
      </c>
      <c r="N480" s="5">
        <f>IF(Tabulka1[[#This Row],[E-shop]]="ano",1,0)</f>
        <v>1</v>
      </c>
      <c r="O480" s="5">
        <f>IF(Tabulka1[[#This Row],[Reklamace]]="ano",1,0)</f>
        <v>0</v>
      </c>
    </row>
    <row r="481" spans="1:15" ht="15.75" customHeight="1" x14ac:dyDescent="0.3">
      <c r="A481" s="1">
        <v>852</v>
      </c>
      <c r="B481" s="2">
        <v>45306</v>
      </c>
      <c r="C481" s="1" t="s">
        <v>18</v>
      </c>
      <c r="D481" s="1" t="s">
        <v>37</v>
      </c>
      <c r="E481" s="1">
        <v>9</v>
      </c>
      <c r="F481" s="1">
        <v>7000</v>
      </c>
      <c r="G481" s="1">
        <v>63000</v>
      </c>
      <c r="H481" s="1">
        <v>17171</v>
      </c>
      <c r="I481" s="1" t="s">
        <v>15</v>
      </c>
      <c r="J481" s="1">
        <v>3</v>
      </c>
      <c r="K481" s="1" t="s">
        <v>15</v>
      </c>
      <c r="L481" s="1">
        <v>7</v>
      </c>
      <c r="M481" s="1" t="s">
        <v>20</v>
      </c>
      <c r="N481" s="5">
        <f>IF(Tabulka1[[#This Row],[E-shop]]="ano",1,0)</f>
        <v>0</v>
      </c>
      <c r="O481" s="5">
        <f>IF(Tabulka1[[#This Row],[Reklamace]]="ano",1,0)</f>
        <v>0</v>
      </c>
    </row>
    <row r="482" spans="1:15" ht="15.75" customHeight="1" x14ac:dyDescent="0.3">
      <c r="A482" s="1">
        <v>875</v>
      </c>
      <c r="B482" s="2">
        <v>45596</v>
      </c>
      <c r="C482" s="1" t="s">
        <v>18</v>
      </c>
      <c r="D482" s="1" t="s">
        <v>38</v>
      </c>
      <c r="E482" s="1">
        <v>7</v>
      </c>
      <c r="F482" s="1">
        <v>9000</v>
      </c>
      <c r="G482" s="1">
        <v>63000</v>
      </c>
      <c r="H482" s="1">
        <v>16266</v>
      </c>
      <c r="I482" s="1" t="s">
        <v>16</v>
      </c>
      <c r="J482" s="1">
        <v>3</v>
      </c>
      <c r="K482" s="1" t="s">
        <v>15</v>
      </c>
      <c r="L482" s="1">
        <v>7</v>
      </c>
      <c r="M482" s="1" t="s">
        <v>20</v>
      </c>
      <c r="N482" s="5">
        <f>IF(Tabulka1[[#This Row],[E-shop]]="ano",1,0)</f>
        <v>1</v>
      </c>
      <c r="O482" s="5">
        <f>IF(Tabulka1[[#This Row],[Reklamace]]="ano",1,0)</f>
        <v>0</v>
      </c>
    </row>
    <row r="483" spans="1:15" ht="15.75" customHeight="1" x14ac:dyDescent="0.3">
      <c r="A483" s="1">
        <v>913</v>
      </c>
      <c r="B483" s="2">
        <v>45783</v>
      </c>
      <c r="C483" s="1" t="s">
        <v>21</v>
      </c>
      <c r="D483" s="1" t="s">
        <v>38</v>
      </c>
      <c r="E483" s="1">
        <v>7</v>
      </c>
      <c r="F483" s="1">
        <v>9000</v>
      </c>
      <c r="G483" s="1">
        <v>63000</v>
      </c>
      <c r="H483" s="1">
        <v>14248</v>
      </c>
      <c r="I483" s="1" t="s">
        <v>16</v>
      </c>
      <c r="J483" s="1">
        <v>5</v>
      </c>
      <c r="K483" s="1" t="s">
        <v>16</v>
      </c>
      <c r="L483" s="1">
        <v>6</v>
      </c>
      <c r="M483" s="1" t="s">
        <v>20</v>
      </c>
      <c r="N483" s="5">
        <f>IF(Tabulka1[[#This Row],[E-shop]]="ano",1,0)</f>
        <v>1</v>
      </c>
      <c r="O483" s="5">
        <f>IF(Tabulka1[[#This Row],[Reklamace]]="ano",1,0)</f>
        <v>1</v>
      </c>
    </row>
    <row r="484" spans="1:15" ht="15.75" customHeight="1" x14ac:dyDescent="0.3">
      <c r="A484" s="1">
        <v>29</v>
      </c>
      <c r="B484" s="2">
        <v>45294</v>
      </c>
      <c r="C484" s="1" t="s">
        <v>36</v>
      </c>
      <c r="D484" s="1" t="s">
        <v>14</v>
      </c>
      <c r="E484" s="1">
        <v>5</v>
      </c>
      <c r="F484" s="1">
        <v>12000</v>
      </c>
      <c r="G484" s="1">
        <v>60000</v>
      </c>
      <c r="H484" s="1">
        <v>13925</v>
      </c>
      <c r="I484" s="1" t="s">
        <v>15</v>
      </c>
      <c r="J484" s="1">
        <v>4</v>
      </c>
      <c r="K484" s="1" t="s">
        <v>15</v>
      </c>
      <c r="L484" s="1">
        <v>5</v>
      </c>
      <c r="M484" s="1" t="s">
        <v>20</v>
      </c>
      <c r="N484" s="5">
        <f>IF(Tabulka1[[#This Row],[E-shop]]="ano",1,0)</f>
        <v>0</v>
      </c>
      <c r="O484" s="5">
        <f>IF(Tabulka1[[#This Row],[Reklamace]]="ano",1,0)</f>
        <v>0</v>
      </c>
    </row>
    <row r="485" spans="1:15" ht="15.75" customHeight="1" x14ac:dyDescent="0.3">
      <c r="A485" s="1">
        <v>37</v>
      </c>
      <c r="B485" s="2">
        <v>45373</v>
      </c>
      <c r="C485" s="1" t="s">
        <v>36</v>
      </c>
      <c r="D485" s="1" t="s">
        <v>35</v>
      </c>
      <c r="E485" s="1">
        <v>5</v>
      </c>
      <c r="F485" s="1">
        <v>12000</v>
      </c>
      <c r="G485" s="1">
        <v>60000</v>
      </c>
      <c r="H485" s="1">
        <v>10462</v>
      </c>
      <c r="I485" s="1" t="s">
        <v>15</v>
      </c>
      <c r="J485" s="1">
        <v>4</v>
      </c>
      <c r="K485" s="1" t="s">
        <v>15</v>
      </c>
      <c r="L485" s="1">
        <v>4</v>
      </c>
      <c r="M485" s="1" t="s">
        <v>20</v>
      </c>
      <c r="N485" s="5">
        <f>IF(Tabulka1[[#This Row],[E-shop]]="ano",1,0)</f>
        <v>0</v>
      </c>
      <c r="O485" s="5">
        <f>IF(Tabulka1[[#This Row],[Reklamace]]="ano",1,0)</f>
        <v>0</v>
      </c>
    </row>
    <row r="486" spans="1:15" ht="15.75" customHeight="1" x14ac:dyDescent="0.3">
      <c r="A486" s="1">
        <v>42</v>
      </c>
      <c r="B486" s="2">
        <v>45308</v>
      </c>
      <c r="C486" s="1" t="s">
        <v>36</v>
      </c>
      <c r="D486" s="1" t="s">
        <v>22</v>
      </c>
      <c r="E486" s="1">
        <v>4</v>
      </c>
      <c r="F486" s="1">
        <v>15000</v>
      </c>
      <c r="G486" s="1">
        <v>60000</v>
      </c>
      <c r="H486" s="1">
        <v>12371</v>
      </c>
      <c r="I486" s="1" t="s">
        <v>16</v>
      </c>
      <c r="J486" s="1">
        <v>6</v>
      </c>
      <c r="K486" s="1" t="s">
        <v>16</v>
      </c>
      <c r="L486" s="1">
        <v>4</v>
      </c>
      <c r="M486" s="1" t="s">
        <v>20</v>
      </c>
      <c r="N486" s="5">
        <f>IF(Tabulka1[[#This Row],[E-shop]]="ano",1,0)</f>
        <v>1</v>
      </c>
      <c r="O486" s="5">
        <f>IF(Tabulka1[[#This Row],[Reklamace]]="ano",1,0)</f>
        <v>1</v>
      </c>
    </row>
    <row r="487" spans="1:15" ht="15.75" customHeight="1" x14ac:dyDescent="0.3">
      <c r="A487" s="1">
        <v>44</v>
      </c>
      <c r="B487" s="2">
        <v>45739</v>
      </c>
      <c r="C487" s="1" t="s">
        <v>13</v>
      </c>
      <c r="D487" s="1" t="s">
        <v>22</v>
      </c>
      <c r="E487" s="1">
        <v>4</v>
      </c>
      <c r="F487" s="1">
        <v>15000</v>
      </c>
      <c r="G487" s="1">
        <v>60000</v>
      </c>
      <c r="H487" s="1">
        <v>14193</v>
      </c>
      <c r="I487" s="1" t="s">
        <v>16</v>
      </c>
      <c r="J487" s="1">
        <v>7</v>
      </c>
      <c r="K487" s="1" t="s">
        <v>16</v>
      </c>
      <c r="L487" s="1">
        <v>3</v>
      </c>
      <c r="M487" s="1" t="s">
        <v>17</v>
      </c>
      <c r="N487" s="5">
        <f>IF(Tabulka1[[#This Row],[E-shop]]="ano",1,0)</f>
        <v>1</v>
      </c>
      <c r="O487" s="5">
        <f>IF(Tabulka1[[#This Row],[Reklamace]]="ano",1,0)</f>
        <v>1</v>
      </c>
    </row>
    <row r="488" spans="1:15" ht="15.75" customHeight="1" x14ac:dyDescent="0.3">
      <c r="A488" s="1">
        <v>52</v>
      </c>
      <c r="B488" s="2">
        <v>45451</v>
      </c>
      <c r="C488" s="1" t="s">
        <v>21</v>
      </c>
      <c r="D488" s="1" t="s">
        <v>22</v>
      </c>
      <c r="E488" s="1">
        <v>4</v>
      </c>
      <c r="F488" s="1">
        <v>15000</v>
      </c>
      <c r="G488" s="1">
        <v>60000</v>
      </c>
      <c r="H488" s="1">
        <v>15660</v>
      </c>
      <c r="I488" s="1" t="s">
        <v>15</v>
      </c>
      <c r="J488" s="1">
        <v>4</v>
      </c>
      <c r="K488" s="1" t="s">
        <v>15</v>
      </c>
      <c r="L488" s="1">
        <v>6</v>
      </c>
      <c r="M488" s="1" t="s">
        <v>20</v>
      </c>
      <c r="N488" s="5">
        <f>IF(Tabulka1[[#This Row],[E-shop]]="ano",1,0)</f>
        <v>0</v>
      </c>
      <c r="O488" s="5">
        <f>IF(Tabulka1[[#This Row],[Reklamace]]="ano",1,0)</f>
        <v>0</v>
      </c>
    </row>
    <row r="489" spans="1:15" ht="15.75" customHeight="1" x14ac:dyDescent="0.3">
      <c r="A489" s="1">
        <v>95</v>
      </c>
      <c r="B489" s="2">
        <v>45866</v>
      </c>
      <c r="C489" s="1" t="s">
        <v>21</v>
      </c>
      <c r="D489" s="1" t="s">
        <v>22</v>
      </c>
      <c r="E489" s="1">
        <v>4</v>
      </c>
      <c r="F489" s="1">
        <v>15000</v>
      </c>
      <c r="G489" s="1">
        <v>60000</v>
      </c>
      <c r="H489" s="1">
        <v>15485</v>
      </c>
      <c r="I489" s="1" t="s">
        <v>15</v>
      </c>
      <c r="J489" s="1">
        <v>4</v>
      </c>
      <c r="K489" s="1" t="s">
        <v>16</v>
      </c>
      <c r="L489" s="1">
        <v>4</v>
      </c>
      <c r="M489" s="1" t="s">
        <v>20</v>
      </c>
      <c r="N489" s="5">
        <f>IF(Tabulka1[[#This Row],[E-shop]]="ano",1,0)</f>
        <v>0</v>
      </c>
      <c r="O489" s="5">
        <f>IF(Tabulka1[[#This Row],[Reklamace]]="ano",1,0)</f>
        <v>1</v>
      </c>
    </row>
    <row r="490" spans="1:15" ht="15.75" customHeight="1" x14ac:dyDescent="0.3">
      <c r="A490" s="1">
        <v>96</v>
      </c>
      <c r="B490" s="2">
        <v>45410</v>
      </c>
      <c r="C490" s="1" t="s">
        <v>18</v>
      </c>
      <c r="D490" s="1" t="s">
        <v>44</v>
      </c>
      <c r="E490" s="1">
        <v>6</v>
      </c>
      <c r="F490" s="1">
        <v>10000</v>
      </c>
      <c r="G490" s="1">
        <v>60000</v>
      </c>
      <c r="H490" s="1">
        <v>12772</v>
      </c>
      <c r="I490" s="1" t="s">
        <v>15</v>
      </c>
      <c r="J490" s="1">
        <v>6</v>
      </c>
      <c r="K490" s="1" t="s">
        <v>15</v>
      </c>
      <c r="L490" s="1">
        <v>5</v>
      </c>
      <c r="M490" s="1" t="s">
        <v>20</v>
      </c>
      <c r="N490" s="5">
        <f>IF(Tabulka1[[#This Row],[E-shop]]="ano",1,0)</f>
        <v>0</v>
      </c>
      <c r="O490" s="5">
        <f>IF(Tabulka1[[#This Row],[Reklamace]]="ano",1,0)</f>
        <v>0</v>
      </c>
    </row>
    <row r="491" spans="1:15" ht="15.75" customHeight="1" x14ac:dyDescent="0.3">
      <c r="A491" s="1">
        <v>116</v>
      </c>
      <c r="B491" s="2">
        <v>45297</v>
      </c>
      <c r="C491" s="1" t="s">
        <v>13</v>
      </c>
      <c r="D491" s="1" t="s">
        <v>22</v>
      </c>
      <c r="E491" s="1">
        <v>4</v>
      </c>
      <c r="F491" s="1">
        <v>15000</v>
      </c>
      <c r="G491" s="1">
        <v>60000</v>
      </c>
      <c r="H491" s="1">
        <v>14646</v>
      </c>
      <c r="I491" s="1" t="s">
        <v>15</v>
      </c>
      <c r="J491" s="1">
        <v>1</v>
      </c>
      <c r="K491" s="1" t="s">
        <v>15</v>
      </c>
      <c r="L491" s="1">
        <v>8</v>
      </c>
      <c r="M491" s="1" t="s">
        <v>17</v>
      </c>
      <c r="N491" s="5">
        <f>IF(Tabulka1[[#This Row],[E-shop]]="ano",1,0)</f>
        <v>0</v>
      </c>
      <c r="O491" s="5">
        <f>IF(Tabulka1[[#This Row],[Reklamace]]="ano",1,0)</f>
        <v>0</v>
      </c>
    </row>
    <row r="492" spans="1:15" ht="15.75" customHeight="1" x14ac:dyDescent="0.3">
      <c r="A492" s="1">
        <v>186</v>
      </c>
      <c r="B492" s="2">
        <v>45916</v>
      </c>
      <c r="C492" s="1" t="s">
        <v>13</v>
      </c>
      <c r="D492" s="1" t="s">
        <v>26</v>
      </c>
      <c r="E492" s="1">
        <v>5</v>
      </c>
      <c r="F492" s="1">
        <v>12000</v>
      </c>
      <c r="G492" s="1">
        <v>60000</v>
      </c>
      <c r="H492" s="1">
        <v>13564</v>
      </c>
      <c r="I492" s="1" t="s">
        <v>15</v>
      </c>
      <c r="J492" s="1">
        <v>8</v>
      </c>
      <c r="K492" s="1" t="s">
        <v>16</v>
      </c>
      <c r="L492" s="1">
        <v>1</v>
      </c>
      <c r="M492" s="1" t="s">
        <v>20</v>
      </c>
      <c r="N492" s="5">
        <f>IF(Tabulka1[[#This Row],[E-shop]]="ano",1,0)</f>
        <v>0</v>
      </c>
      <c r="O492" s="5">
        <f>IF(Tabulka1[[#This Row],[Reklamace]]="ano",1,0)</f>
        <v>1</v>
      </c>
    </row>
    <row r="493" spans="1:15" ht="15.75" customHeight="1" x14ac:dyDescent="0.3">
      <c r="A493" s="1">
        <v>188</v>
      </c>
      <c r="B493" s="2">
        <v>45459</v>
      </c>
      <c r="C493" s="1" t="s">
        <v>13</v>
      </c>
      <c r="D493" s="1" t="s">
        <v>26</v>
      </c>
      <c r="E493" s="1">
        <v>5</v>
      </c>
      <c r="F493" s="1">
        <v>12000</v>
      </c>
      <c r="G493" s="1">
        <v>60000</v>
      </c>
      <c r="H493" s="1">
        <v>12376</v>
      </c>
      <c r="I493" s="1" t="s">
        <v>15</v>
      </c>
      <c r="J493" s="1">
        <v>7</v>
      </c>
      <c r="K493" s="1" t="s">
        <v>16</v>
      </c>
      <c r="L493" s="1">
        <v>4</v>
      </c>
      <c r="M493" s="1" t="s">
        <v>20</v>
      </c>
      <c r="N493" s="5">
        <f>IF(Tabulka1[[#This Row],[E-shop]]="ano",1,0)</f>
        <v>0</v>
      </c>
      <c r="O493" s="5">
        <f>IF(Tabulka1[[#This Row],[Reklamace]]="ano",1,0)</f>
        <v>1</v>
      </c>
    </row>
    <row r="494" spans="1:15" ht="15.75" customHeight="1" x14ac:dyDescent="0.3">
      <c r="A494" s="1">
        <v>194</v>
      </c>
      <c r="B494" s="2">
        <v>45643</v>
      </c>
      <c r="C494" s="1" t="s">
        <v>31</v>
      </c>
      <c r="D494" s="1" t="s">
        <v>33</v>
      </c>
      <c r="E494" s="1">
        <v>10</v>
      </c>
      <c r="F494" s="1">
        <v>6000</v>
      </c>
      <c r="G494" s="1">
        <v>60000</v>
      </c>
      <c r="H494" s="1">
        <v>11966</v>
      </c>
      <c r="I494" s="1" t="s">
        <v>16</v>
      </c>
      <c r="J494" s="1">
        <v>7</v>
      </c>
      <c r="K494" s="1" t="s">
        <v>16</v>
      </c>
      <c r="L494" s="1">
        <v>3</v>
      </c>
      <c r="M494" s="1" t="s">
        <v>17</v>
      </c>
      <c r="N494" s="5">
        <f>IF(Tabulka1[[#This Row],[E-shop]]="ano",1,0)</f>
        <v>1</v>
      </c>
      <c r="O494" s="5">
        <f>IF(Tabulka1[[#This Row],[Reklamace]]="ano",1,0)</f>
        <v>1</v>
      </c>
    </row>
    <row r="495" spans="1:15" ht="15.75" customHeight="1" x14ac:dyDescent="0.3">
      <c r="A495" s="1">
        <v>237</v>
      </c>
      <c r="B495" s="2">
        <v>45415</v>
      </c>
      <c r="C495" s="1" t="s">
        <v>13</v>
      </c>
      <c r="D495" s="1" t="s">
        <v>35</v>
      </c>
      <c r="E495" s="1">
        <v>5</v>
      </c>
      <c r="F495" s="1">
        <v>12000</v>
      </c>
      <c r="G495" s="1">
        <v>60000</v>
      </c>
      <c r="H495" s="1">
        <v>12857</v>
      </c>
      <c r="I495" s="1" t="s">
        <v>16</v>
      </c>
      <c r="J495" s="1">
        <v>4</v>
      </c>
      <c r="K495" s="1" t="s">
        <v>15</v>
      </c>
      <c r="L495" s="1">
        <v>5</v>
      </c>
      <c r="M495" s="1" t="s">
        <v>20</v>
      </c>
      <c r="N495" s="5">
        <f>IF(Tabulka1[[#This Row],[E-shop]]="ano",1,0)</f>
        <v>1</v>
      </c>
      <c r="O495" s="5">
        <f>IF(Tabulka1[[#This Row],[Reklamace]]="ano",1,0)</f>
        <v>0</v>
      </c>
    </row>
    <row r="496" spans="1:15" ht="15.75" customHeight="1" x14ac:dyDescent="0.3">
      <c r="A496" s="1">
        <v>239</v>
      </c>
      <c r="B496" s="2">
        <v>45338</v>
      </c>
      <c r="C496" s="1" t="s">
        <v>21</v>
      </c>
      <c r="D496" s="1" t="s">
        <v>44</v>
      </c>
      <c r="E496" s="1">
        <v>6</v>
      </c>
      <c r="F496" s="1">
        <v>10000</v>
      </c>
      <c r="G496" s="1">
        <v>60000</v>
      </c>
      <c r="H496" s="1">
        <v>14889</v>
      </c>
      <c r="I496" s="1" t="s">
        <v>15</v>
      </c>
      <c r="J496" s="1">
        <v>7</v>
      </c>
      <c r="K496" s="1" t="s">
        <v>16</v>
      </c>
      <c r="L496" s="1">
        <v>4</v>
      </c>
      <c r="M496" s="1" t="s">
        <v>20</v>
      </c>
      <c r="N496" s="5">
        <f>IF(Tabulka1[[#This Row],[E-shop]]="ano",1,0)</f>
        <v>0</v>
      </c>
      <c r="O496" s="5">
        <f>IF(Tabulka1[[#This Row],[Reklamace]]="ano",1,0)</f>
        <v>1</v>
      </c>
    </row>
    <row r="497" spans="1:15" ht="15.75" customHeight="1" x14ac:dyDescent="0.3">
      <c r="A497" s="1">
        <v>273</v>
      </c>
      <c r="B497" s="2">
        <v>45368</v>
      </c>
      <c r="C497" s="1" t="s">
        <v>36</v>
      </c>
      <c r="D497" s="1" t="s">
        <v>44</v>
      </c>
      <c r="E497" s="1">
        <v>6</v>
      </c>
      <c r="F497" s="1">
        <v>10000</v>
      </c>
      <c r="G497" s="1">
        <v>60000</v>
      </c>
      <c r="H497" s="1">
        <v>14342</v>
      </c>
      <c r="I497" s="1" t="s">
        <v>15</v>
      </c>
      <c r="J497" s="1">
        <v>8</v>
      </c>
      <c r="K497" s="1" t="s">
        <v>16</v>
      </c>
      <c r="L497" s="1">
        <v>1</v>
      </c>
      <c r="M497" s="1" t="s">
        <v>17</v>
      </c>
      <c r="N497" s="5">
        <f>IF(Tabulka1[[#This Row],[E-shop]]="ano",1,0)</f>
        <v>0</v>
      </c>
      <c r="O497" s="5">
        <f>IF(Tabulka1[[#This Row],[Reklamace]]="ano",1,0)</f>
        <v>1</v>
      </c>
    </row>
    <row r="498" spans="1:15" ht="15.75" customHeight="1" x14ac:dyDescent="0.3">
      <c r="A498" s="1">
        <v>399</v>
      </c>
      <c r="B498" s="2">
        <v>45932</v>
      </c>
      <c r="C498" s="1" t="s">
        <v>13</v>
      </c>
      <c r="D498" s="1" t="s">
        <v>41</v>
      </c>
      <c r="E498" s="1">
        <v>12</v>
      </c>
      <c r="F498" s="1">
        <v>5000</v>
      </c>
      <c r="G498" s="1">
        <v>60000</v>
      </c>
      <c r="H498" s="1">
        <v>15720</v>
      </c>
      <c r="I498" s="1" t="s">
        <v>16</v>
      </c>
      <c r="J498" s="1">
        <v>4</v>
      </c>
      <c r="K498" s="1" t="s">
        <v>15</v>
      </c>
      <c r="L498" s="1">
        <v>4</v>
      </c>
      <c r="M498" s="1" t="s">
        <v>17</v>
      </c>
      <c r="N498" s="5">
        <f>IF(Tabulka1[[#This Row],[E-shop]]="ano",1,0)</f>
        <v>1</v>
      </c>
      <c r="O498" s="5">
        <f>IF(Tabulka1[[#This Row],[Reklamace]]="ano",1,0)</f>
        <v>0</v>
      </c>
    </row>
    <row r="499" spans="1:15" ht="15.75" customHeight="1" x14ac:dyDescent="0.3">
      <c r="A499" s="1">
        <v>411</v>
      </c>
      <c r="B499" s="2">
        <v>45917</v>
      </c>
      <c r="C499" s="1" t="s">
        <v>36</v>
      </c>
      <c r="D499" s="1" t="s">
        <v>14</v>
      </c>
      <c r="E499" s="1">
        <v>5</v>
      </c>
      <c r="F499" s="1">
        <v>12000</v>
      </c>
      <c r="G499" s="1">
        <v>60000</v>
      </c>
      <c r="H499" s="1">
        <v>14954</v>
      </c>
      <c r="I499" s="1" t="s">
        <v>15</v>
      </c>
      <c r="J499" s="1">
        <v>6</v>
      </c>
      <c r="K499" s="1" t="s">
        <v>15</v>
      </c>
      <c r="L499" s="1">
        <v>5</v>
      </c>
      <c r="M499" s="1" t="s">
        <v>20</v>
      </c>
      <c r="N499" s="5">
        <f>IF(Tabulka1[[#This Row],[E-shop]]="ano",1,0)</f>
        <v>0</v>
      </c>
      <c r="O499" s="5">
        <f>IF(Tabulka1[[#This Row],[Reklamace]]="ano",1,0)</f>
        <v>0</v>
      </c>
    </row>
    <row r="500" spans="1:15" ht="15.75" customHeight="1" x14ac:dyDescent="0.3">
      <c r="A500" s="1">
        <v>414</v>
      </c>
      <c r="B500" s="2">
        <v>45354</v>
      </c>
      <c r="C500" s="1" t="s">
        <v>13</v>
      </c>
      <c r="D500" s="1" t="s">
        <v>29</v>
      </c>
      <c r="E500" s="1">
        <v>3</v>
      </c>
      <c r="F500" s="1">
        <v>20000</v>
      </c>
      <c r="G500" s="1">
        <v>60000</v>
      </c>
      <c r="H500" s="1">
        <v>16788</v>
      </c>
      <c r="I500" s="1" t="s">
        <v>15</v>
      </c>
      <c r="J500" s="1">
        <v>2</v>
      </c>
      <c r="K500" s="1" t="s">
        <v>15</v>
      </c>
      <c r="L500" s="1">
        <v>9</v>
      </c>
      <c r="M500" s="1" t="s">
        <v>20</v>
      </c>
      <c r="N500" s="5">
        <f>IF(Tabulka1[[#This Row],[E-shop]]="ano",1,0)</f>
        <v>0</v>
      </c>
      <c r="O500" s="5">
        <f>IF(Tabulka1[[#This Row],[Reklamace]]="ano",1,0)</f>
        <v>0</v>
      </c>
    </row>
    <row r="501" spans="1:15" ht="15.75" customHeight="1" x14ac:dyDescent="0.3">
      <c r="A501" s="1">
        <v>422</v>
      </c>
      <c r="B501" s="2">
        <v>45907</v>
      </c>
      <c r="C501" s="1" t="s">
        <v>18</v>
      </c>
      <c r="D501" s="1" t="s">
        <v>32</v>
      </c>
      <c r="E501" s="1">
        <v>6</v>
      </c>
      <c r="F501" s="1">
        <v>10000</v>
      </c>
      <c r="G501" s="1">
        <v>60000</v>
      </c>
      <c r="H501" s="1">
        <v>10638</v>
      </c>
      <c r="I501" s="1" t="s">
        <v>16</v>
      </c>
      <c r="J501" s="1">
        <v>7</v>
      </c>
      <c r="K501" s="1" t="s">
        <v>15</v>
      </c>
      <c r="L501" s="1">
        <v>1</v>
      </c>
      <c r="M501" s="1" t="s">
        <v>20</v>
      </c>
      <c r="N501" s="5">
        <f>IF(Tabulka1[[#This Row],[E-shop]]="ano",1,0)</f>
        <v>1</v>
      </c>
      <c r="O501" s="5">
        <f>IF(Tabulka1[[#This Row],[Reklamace]]="ano",1,0)</f>
        <v>0</v>
      </c>
    </row>
    <row r="502" spans="1:15" ht="15.75" customHeight="1" x14ac:dyDescent="0.3">
      <c r="A502" s="1">
        <v>425</v>
      </c>
      <c r="B502" s="2">
        <v>45933</v>
      </c>
      <c r="C502" s="1" t="s">
        <v>18</v>
      </c>
      <c r="D502" s="1" t="s">
        <v>32</v>
      </c>
      <c r="E502" s="1">
        <v>6</v>
      </c>
      <c r="F502" s="1">
        <v>10000</v>
      </c>
      <c r="G502" s="1">
        <v>60000</v>
      </c>
      <c r="H502" s="1">
        <v>14405</v>
      </c>
      <c r="I502" s="1" t="s">
        <v>15</v>
      </c>
      <c r="J502" s="1">
        <v>4</v>
      </c>
      <c r="K502" s="1" t="s">
        <v>15</v>
      </c>
      <c r="L502" s="1">
        <v>5</v>
      </c>
      <c r="M502" s="1" t="s">
        <v>17</v>
      </c>
      <c r="N502" s="5">
        <f>IF(Tabulka1[[#This Row],[E-shop]]="ano",1,0)</f>
        <v>0</v>
      </c>
      <c r="O502" s="5">
        <f>IF(Tabulka1[[#This Row],[Reklamace]]="ano",1,0)</f>
        <v>0</v>
      </c>
    </row>
    <row r="503" spans="1:15" ht="15.75" customHeight="1" x14ac:dyDescent="0.3">
      <c r="A503" s="1">
        <v>440</v>
      </c>
      <c r="B503" s="2">
        <v>45780</v>
      </c>
      <c r="C503" s="1" t="s">
        <v>36</v>
      </c>
      <c r="D503" s="1" t="s">
        <v>35</v>
      </c>
      <c r="E503" s="1">
        <v>5</v>
      </c>
      <c r="F503" s="1">
        <v>12000</v>
      </c>
      <c r="G503" s="1">
        <v>60000</v>
      </c>
      <c r="H503" s="1">
        <v>12667</v>
      </c>
      <c r="I503" s="1" t="s">
        <v>15</v>
      </c>
      <c r="J503" s="1">
        <v>8</v>
      </c>
      <c r="K503" s="1" t="s">
        <v>15</v>
      </c>
      <c r="L503" s="1">
        <v>1</v>
      </c>
      <c r="M503" s="1" t="s">
        <v>20</v>
      </c>
      <c r="N503" s="5">
        <f>IF(Tabulka1[[#This Row],[E-shop]]="ano",1,0)</f>
        <v>0</v>
      </c>
      <c r="O503" s="5">
        <f>IF(Tabulka1[[#This Row],[Reklamace]]="ano",1,0)</f>
        <v>0</v>
      </c>
    </row>
    <row r="504" spans="1:15" ht="15.75" customHeight="1" x14ac:dyDescent="0.3">
      <c r="A504" s="1">
        <v>445</v>
      </c>
      <c r="B504" s="2">
        <v>45599</v>
      </c>
      <c r="C504" s="1" t="s">
        <v>21</v>
      </c>
      <c r="D504" s="1" t="s">
        <v>14</v>
      </c>
      <c r="E504" s="1">
        <v>5</v>
      </c>
      <c r="F504" s="1">
        <v>12000</v>
      </c>
      <c r="G504" s="1">
        <v>60000</v>
      </c>
      <c r="H504" s="1">
        <v>14714</v>
      </c>
      <c r="I504" s="1" t="s">
        <v>15</v>
      </c>
      <c r="J504" s="1">
        <v>4</v>
      </c>
      <c r="K504" s="1" t="s">
        <v>15</v>
      </c>
      <c r="L504" s="1">
        <v>6</v>
      </c>
      <c r="M504" s="1" t="s">
        <v>20</v>
      </c>
      <c r="N504" s="5">
        <f>IF(Tabulka1[[#This Row],[E-shop]]="ano",1,0)</f>
        <v>0</v>
      </c>
      <c r="O504" s="5">
        <f>IF(Tabulka1[[#This Row],[Reklamace]]="ano",1,0)</f>
        <v>0</v>
      </c>
    </row>
    <row r="505" spans="1:15" ht="15.75" customHeight="1" x14ac:dyDescent="0.3">
      <c r="A505" s="1">
        <v>505</v>
      </c>
      <c r="B505" s="2">
        <v>45448</v>
      </c>
      <c r="C505" s="1" t="s">
        <v>13</v>
      </c>
      <c r="D505" s="1" t="s">
        <v>33</v>
      </c>
      <c r="E505" s="1">
        <v>10</v>
      </c>
      <c r="F505" s="1">
        <v>6000</v>
      </c>
      <c r="G505" s="1">
        <v>60000</v>
      </c>
      <c r="H505" s="1">
        <v>9027</v>
      </c>
      <c r="I505" s="1" t="s">
        <v>16</v>
      </c>
      <c r="J505" s="1">
        <v>8</v>
      </c>
      <c r="K505" s="1" t="s">
        <v>15</v>
      </c>
      <c r="L505" s="1">
        <v>2</v>
      </c>
      <c r="M505" s="1" t="s">
        <v>17</v>
      </c>
      <c r="N505" s="5">
        <f>IF(Tabulka1[[#This Row],[E-shop]]="ano",1,0)</f>
        <v>1</v>
      </c>
      <c r="O505" s="5">
        <f>IF(Tabulka1[[#This Row],[Reklamace]]="ano",1,0)</f>
        <v>0</v>
      </c>
    </row>
    <row r="506" spans="1:15" ht="15.75" customHeight="1" x14ac:dyDescent="0.3">
      <c r="A506" s="1">
        <v>521</v>
      </c>
      <c r="B506" s="2">
        <v>45888</v>
      </c>
      <c r="C506" s="1" t="s">
        <v>31</v>
      </c>
      <c r="D506" s="1" t="s">
        <v>26</v>
      </c>
      <c r="E506" s="1">
        <v>5</v>
      </c>
      <c r="F506" s="1">
        <v>12000</v>
      </c>
      <c r="G506" s="1">
        <v>60000</v>
      </c>
      <c r="H506" s="1">
        <v>12217</v>
      </c>
      <c r="I506" s="1" t="s">
        <v>15</v>
      </c>
      <c r="J506" s="1">
        <v>8</v>
      </c>
      <c r="K506" s="1" t="s">
        <v>16</v>
      </c>
      <c r="L506" s="1">
        <v>1</v>
      </c>
      <c r="M506" s="1" t="s">
        <v>20</v>
      </c>
      <c r="N506" s="5">
        <f>IF(Tabulka1[[#This Row],[E-shop]]="ano",1,0)</f>
        <v>0</v>
      </c>
      <c r="O506" s="5">
        <f>IF(Tabulka1[[#This Row],[Reklamace]]="ano",1,0)</f>
        <v>1</v>
      </c>
    </row>
    <row r="507" spans="1:15" ht="15.75" customHeight="1" x14ac:dyDescent="0.3">
      <c r="A507" s="1">
        <v>522</v>
      </c>
      <c r="B507" s="2">
        <v>45522</v>
      </c>
      <c r="C507" s="1" t="s">
        <v>31</v>
      </c>
      <c r="D507" s="1" t="s">
        <v>14</v>
      </c>
      <c r="E507" s="1">
        <v>5</v>
      </c>
      <c r="F507" s="1">
        <v>12000</v>
      </c>
      <c r="G507" s="1">
        <v>60000</v>
      </c>
      <c r="H507" s="1">
        <v>15065</v>
      </c>
      <c r="I507" s="1" t="s">
        <v>15</v>
      </c>
      <c r="J507" s="1">
        <v>7</v>
      </c>
      <c r="K507" s="1" t="s">
        <v>16</v>
      </c>
      <c r="L507" s="1">
        <v>1</v>
      </c>
      <c r="M507" s="1" t="s">
        <v>20</v>
      </c>
      <c r="N507" s="5">
        <f>IF(Tabulka1[[#This Row],[E-shop]]="ano",1,0)</f>
        <v>0</v>
      </c>
      <c r="O507" s="5">
        <f>IF(Tabulka1[[#This Row],[Reklamace]]="ano",1,0)</f>
        <v>1</v>
      </c>
    </row>
    <row r="508" spans="1:15" ht="15.75" customHeight="1" x14ac:dyDescent="0.3">
      <c r="A508" s="1">
        <v>536</v>
      </c>
      <c r="B508" s="2">
        <v>45296</v>
      </c>
      <c r="C508" s="1" t="s">
        <v>25</v>
      </c>
      <c r="D508" s="1" t="s">
        <v>41</v>
      </c>
      <c r="E508" s="1">
        <v>12</v>
      </c>
      <c r="F508" s="1">
        <v>5000</v>
      </c>
      <c r="G508" s="1">
        <v>60000</v>
      </c>
      <c r="H508" s="1">
        <v>10324</v>
      </c>
      <c r="I508" s="1" t="s">
        <v>15</v>
      </c>
      <c r="J508" s="1">
        <v>4</v>
      </c>
      <c r="K508" s="1" t="s">
        <v>15</v>
      </c>
      <c r="L508" s="1">
        <v>7</v>
      </c>
      <c r="M508" s="1" t="s">
        <v>20</v>
      </c>
      <c r="N508" s="5">
        <f>IF(Tabulka1[[#This Row],[E-shop]]="ano",1,0)</f>
        <v>0</v>
      </c>
      <c r="O508" s="5">
        <f>IF(Tabulka1[[#This Row],[Reklamace]]="ano",1,0)</f>
        <v>0</v>
      </c>
    </row>
    <row r="509" spans="1:15" ht="15.75" customHeight="1" x14ac:dyDescent="0.3">
      <c r="A509" s="1">
        <v>602</v>
      </c>
      <c r="B509" s="2">
        <v>45821</v>
      </c>
      <c r="C509" s="1" t="s">
        <v>31</v>
      </c>
      <c r="D509" s="1" t="s">
        <v>26</v>
      </c>
      <c r="E509" s="1">
        <v>5</v>
      </c>
      <c r="F509" s="1">
        <v>12000</v>
      </c>
      <c r="G509" s="1">
        <v>60000</v>
      </c>
      <c r="H509" s="1">
        <v>12202</v>
      </c>
      <c r="I509" s="1" t="s">
        <v>15</v>
      </c>
      <c r="J509" s="1">
        <v>4</v>
      </c>
      <c r="K509" s="1" t="s">
        <v>15</v>
      </c>
      <c r="L509" s="1">
        <v>7</v>
      </c>
      <c r="M509" s="1" t="s">
        <v>20</v>
      </c>
      <c r="N509" s="5">
        <f>IF(Tabulka1[[#This Row],[E-shop]]="ano",1,0)</f>
        <v>0</v>
      </c>
      <c r="O509" s="5">
        <f>IF(Tabulka1[[#This Row],[Reklamace]]="ano",1,0)</f>
        <v>0</v>
      </c>
    </row>
    <row r="510" spans="1:15" ht="15.75" customHeight="1" x14ac:dyDescent="0.3">
      <c r="A510" s="1">
        <v>616</v>
      </c>
      <c r="B510" s="2">
        <v>45303</v>
      </c>
      <c r="C510" s="1" t="s">
        <v>23</v>
      </c>
      <c r="D510" s="1" t="s">
        <v>29</v>
      </c>
      <c r="E510" s="1">
        <v>3</v>
      </c>
      <c r="F510" s="1">
        <v>20000</v>
      </c>
      <c r="G510" s="1">
        <v>60000</v>
      </c>
      <c r="H510" s="1">
        <v>17490</v>
      </c>
      <c r="I510" s="1" t="s">
        <v>15</v>
      </c>
      <c r="J510" s="1">
        <v>1</v>
      </c>
      <c r="K510" s="1" t="s">
        <v>15</v>
      </c>
      <c r="L510" s="1">
        <v>8</v>
      </c>
      <c r="M510" s="1" t="s">
        <v>20</v>
      </c>
      <c r="N510" s="5">
        <f>IF(Tabulka1[[#This Row],[E-shop]]="ano",1,0)</f>
        <v>0</v>
      </c>
      <c r="O510" s="5">
        <f>IF(Tabulka1[[#This Row],[Reklamace]]="ano",1,0)</f>
        <v>0</v>
      </c>
    </row>
    <row r="511" spans="1:15" ht="15.75" customHeight="1" x14ac:dyDescent="0.3">
      <c r="A511" s="1">
        <v>625</v>
      </c>
      <c r="B511" s="2">
        <v>45598</v>
      </c>
      <c r="C511" s="1" t="s">
        <v>21</v>
      </c>
      <c r="D511" s="1" t="s">
        <v>14</v>
      </c>
      <c r="E511" s="1">
        <v>5</v>
      </c>
      <c r="F511" s="1">
        <v>12000</v>
      </c>
      <c r="G511" s="1">
        <v>60000</v>
      </c>
      <c r="H511" s="1">
        <v>15206</v>
      </c>
      <c r="I511" s="1" t="s">
        <v>15</v>
      </c>
      <c r="J511" s="1">
        <v>5</v>
      </c>
      <c r="K511" s="1" t="s">
        <v>15</v>
      </c>
      <c r="L511" s="1">
        <v>5</v>
      </c>
      <c r="M511" s="1" t="s">
        <v>17</v>
      </c>
      <c r="N511" s="5">
        <f>IF(Tabulka1[[#This Row],[E-shop]]="ano",1,0)</f>
        <v>0</v>
      </c>
      <c r="O511" s="5">
        <f>IF(Tabulka1[[#This Row],[Reklamace]]="ano",1,0)</f>
        <v>0</v>
      </c>
    </row>
    <row r="512" spans="1:15" ht="15.75" customHeight="1" x14ac:dyDescent="0.3">
      <c r="A512" s="1">
        <v>638</v>
      </c>
      <c r="B512" s="2">
        <v>45698</v>
      </c>
      <c r="C512" s="1" t="s">
        <v>13</v>
      </c>
      <c r="D512" s="1" t="s">
        <v>22</v>
      </c>
      <c r="E512" s="1">
        <v>4</v>
      </c>
      <c r="F512" s="1">
        <v>15000</v>
      </c>
      <c r="G512" s="1">
        <v>60000</v>
      </c>
      <c r="H512" s="1">
        <v>17572</v>
      </c>
      <c r="I512" s="1" t="s">
        <v>16</v>
      </c>
      <c r="J512" s="1">
        <v>3</v>
      </c>
      <c r="K512" s="1" t="s">
        <v>15</v>
      </c>
      <c r="L512" s="1">
        <v>6</v>
      </c>
      <c r="M512" s="1" t="s">
        <v>17</v>
      </c>
      <c r="N512" s="5">
        <f>IF(Tabulka1[[#This Row],[E-shop]]="ano",1,0)</f>
        <v>1</v>
      </c>
      <c r="O512" s="5">
        <f>IF(Tabulka1[[#This Row],[Reklamace]]="ano",1,0)</f>
        <v>0</v>
      </c>
    </row>
    <row r="513" spans="1:15" ht="15.75" customHeight="1" x14ac:dyDescent="0.3">
      <c r="A513" s="1">
        <v>662</v>
      </c>
      <c r="B513" s="2">
        <v>45449</v>
      </c>
      <c r="C513" s="1" t="s">
        <v>18</v>
      </c>
      <c r="D513" s="1" t="s">
        <v>26</v>
      </c>
      <c r="E513" s="1">
        <v>5</v>
      </c>
      <c r="F513" s="1">
        <v>12000</v>
      </c>
      <c r="G513" s="1">
        <v>60000</v>
      </c>
      <c r="H513" s="1">
        <v>11343</v>
      </c>
      <c r="I513" s="1" t="s">
        <v>15</v>
      </c>
      <c r="J513" s="1">
        <v>5</v>
      </c>
      <c r="K513" s="1" t="s">
        <v>15</v>
      </c>
      <c r="L513" s="1">
        <v>4</v>
      </c>
      <c r="M513" s="1" t="s">
        <v>20</v>
      </c>
      <c r="N513" s="5">
        <f>IF(Tabulka1[[#This Row],[E-shop]]="ano",1,0)</f>
        <v>0</v>
      </c>
      <c r="O513" s="5">
        <f>IF(Tabulka1[[#This Row],[Reklamace]]="ano",1,0)</f>
        <v>0</v>
      </c>
    </row>
    <row r="514" spans="1:15" ht="15.75" customHeight="1" x14ac:dyDescent="0.3">
      <c r="A514" s="1">
        <v>677</v>
      </c>
      <c r="B514" s="2">
        <v>45865</v>
      </c>
      <c r="C514" s="1" t="s">
        <v>13</v>
      </c>
      <c r="D514" s="1" t="s">
        <v>14</v>
      </c>
      <c r="E514" s="1">
        <v>5</v>
      </c>
      <c r="F514" s="1">
        <v>12000</v>
      </c>
      <c r="G514" s="1">
        <v>60000</v>
      </c>
      <c r="H514" s="1">
        <v>9913</v>
      </c>
      <c r="I514" s="1" t="s">
        <v>15</v>
      </c>
      <c r="J514" s="1">
        <v>3</v>
      </c>
      <c r="K514" s="1" t="s">
        <v>15</v>
      </c>
      <c r="L514" s="1">
        <v>6</v>
      </c>
      <c r="M514" s="1" t="s">
        <v>20</v>
      </c>
      <c r="N514" s="5">
        <f>IF(Tabulka1[[#This Row],[E-shop]]="ano",1,0)</f>
        <v>0</v>
      </c>
      <c r="O514" s="5">
        <f>IF(Tabulka1[[#This Row],[Reklamace]]="ano",1,0)</f>
        <v>0</v>
      </c>
    </row>
    <row r="515" spans="1:15" ht="15.75" customHeight="1" x14ac:dyDescent="0.3">
      <c r="A515" s="1">
        <v>685</v>
      </c>
      <c r="B515" s="2">
        <v>45768</v>
      </c>
      <c r="C515" s="1" t="s">
        <v>31</v>
      </c>
      <c r="D515" s="1" t="s">
        <v>35</v>
      </c>
      <c r="E515" s="1">
        <v>5</v>
      </c>
      <c r="F515" s="1">
        <v>12000</v>
      </c>
      <c r="G515" s="1">
        <v>60000</v>
      </c>
      <c r="H515" s="1">
        <v>14270</v>
      </c>
      <c r="I515" s="1" t="s">
        <v>15</v>
      </c>
      <c r="J515" s="1">
        <v>3</v>
      </c>
      <c r="K515" s="1" t="s">
        <v>15</v>
      </c>
      <c r="L515" s="1">
        <v>8</v>
      </c>
      <c r="M515" s="1" t="s">
        <v>20</v>
      </c>
      <c r="N515" s="5">
        <f>IF(Tabulka1[[#This Row],[E-shop]]="ano",1,0)</f>
        <v>0</v>
      </c>
      <c r="O515" s="5">
        <f>IF(Tabulka1[[#This Row],[Reklamace]]="ano",1,0)</f>
        <v>0</v>
      </c>
    </row>
    <row r="516" spans="1:15" ht="15.75" customHeight="1" x14ac:dyDescent="0.3">
      <c r="A516" s="1">
        <v>706</v>
      </c>
      <c r="B516" s="2">
        <v>45814</v>
      </c>
      <c r="C516" s="1" t="s">
        <v>36</v>
      </c>
      <c r="D516" s="1" t="s">
        <v>32</v>
      </c>
      <c r="E516" s="1">
        <v>6</v>
      </c>
      <c r="F516" s="1">
        <v>10000</v>
      </c>
      <c r="G516" s="1">
        <v>60000</v>
      </c>
      <c r="H516" s="1">
        <v>11729</v>
      </c>
      <c r="I516" s="1" t="s">
        <v>15</v>
      </c>
      <c r="J516" s="1">
        <v>7</v>
      </c>
      <c r="K516" s="1" t="s">
        <v>16</v>
      </c>
      <c r="L516" s="1">
        <v>1</v>
      </c>
      <c r="M516" s="1" t="s">
        <v>20</v>
      </c>
      <c r="N516" s="5">
        <f>IF(Tabulka1[[#This Row],[E-shop]]="ano",1,0)</f>
        <v>0</v>
      </c>
      <c r="O516" s="5">
        <f>IF(Tabulka1[[#This Row],[Reklamace]]="ano",1,0)</f>
        <v>1</v>
      </c>
    </row>
    <row r="517" spans="1:15" ht="15.75" customHeight="1" x14ac:dyDescent="0.3">
      <c r="A517" s="1">
        <v>716</v>
      </c>
      <c r="B517" s="2">
        <v>45477</v>
      </c>
      <c r="C517" s="1" t="s">
        <v>36</v>
      </c>
      <c r="D517" s="1" t="s">
        <v>44</v>
      </c>
      <c r="E517" s="1">
        <v>6</v>
      </c>
      <c r="F517" s="1">
        <v>10000</v>
      </c>
      <c r="G517" s="1">
        <v>60000</v>
      </c>
      <c r="H517" s="1">
        <v>14119</v>
      </c>
      <c r="I517" s="1" t="s">
        <v>15</v>
      </c>
      <c r="J517" s="1">
        <v>6</v>
      </c>
      <c r="K517" s="1" t="s">
        <v>15</v>
      </c>
      <c r="L517" s="1">
        <v>2</v>
      </c>
      <c r="M517" s="1" t="s">
        <v>20</v>
      </c>
      <c r="N517" s="5">
        <f>IF(Tabulka1[[#This Row],[E-shop]]="ano",1,0)</f>
        <v>0</v>
      </c>
      <c r="O517" s="5">
        <f>IF(Tabulka1[[#This Row],[Reklamace]]="ano",1,0)</f>
        <v>0</v>
      </c>
    </row>
    <row r="518" spans="1:15" ht="15.75" customHeight="1" x14ac:dyDescent="0.3">
      <c r="A518" s="1">
        <v>757</v>
      </c>
      <c r="B518" s="2">
        <v>45493</v>
      </c>
      <c r="C518" s="1" t="s">
        <v>25</v>
      </c>
      <c r="D518" s="1" t="s">
        <v>33</v>
      </c>
      <c r="E518" s="1">
        <v>10</v>
      </c>
      <c r="F518" s="1">
        <v>6000</v>
      </c>
      <c r="G518" s="1">
        <v>60000</v>
      </c>
      <c r="H518" s="1">
        <v>10616</v>
      </c>
      <c r="I518" s="1" t="s">
        <v>15</v>
      </c>
      <c r="J518" s="1">
        <v>5</v>
      </c>
      <c r="K518" s="1" t="s">
        <v>15</v>
      </c>
      <c r="L518" s="1">
        <v>4</v>
      </c>
      <c r="M518" s="1" t="s">
        <v>20</v>
      </c>
      <c r="N518" s="5">
        <f>IF(Tabulka1[[#This Row],[E-shop]]="ano",1,0)</f>
        <v>0</v>
      </c>
      <c r="O518" s="5">
        <f>IF(Tabulka1[[#This Row],[Reklamace]]="ano",1,0)</f>
        <v>0</v>
      </c>
    </row>
    <row r="519" spans="1:15" ht="15.75" customHeight="1" x14ac:dyDescent="0.3">
      <c r="A519" s="1">
        <v>885</v>
      </c>
      <c r="B519" s="2">
        <v>45653</v>
      </c>
      <c r="C519" s="1" t="s">
        <v>25</v>
      </c>
      <c r="D519" s="1" t="s">
        <v>33</v>
      </c>
      <c r="E519" s="1">
        <v>10</v>
      </c>
      <c r="F519" s="1">
        <v>6000</v>
      </c>
      <c r="G519" s="1">
        <v>60000</v>
      </c>
      <c r="H519" s="1">
        <v>16031</v>
      </c>
      <c r="I519" s="1" t="s">
        <v>15</v>
      </c>
      <c r="J519" s="1">
        <v>4</v>
      </c>
      <c r="K519" s="1" t="s">
        <v>15</v>
      </c>
      <c r="L519" s="1">
        <v>5</v>
      </c>
      <c r="M519" s="1" t="s">
        <v>20</v>
      </c>
      <c r="N519" s="5">
        <f>IF(Tabulka1[[#This Row],[E-shop]]="ano",1,0)</f>
        <v>0</v>
      </c>
      <c r="O519" s="5">
        <f>IF(Tabulka1[[#This Row],[Reklamace]]="ano",1,0)</f>
        <v>0</v>
      </c>
    </row>
    <row r="520" spans="1:15" ht="15.75" customHeight="1" x14ac:dyDescent="0.3">
      <c r="A520" s="1">
        <v>925</v>
      </c>
      <c r="B520" s="2">
        <v>45470</v>
      </c>
      <c r="C520" s="1" t="s">
        <v>25</v>
      </c>
      <c r="D520" s="1" t="s">
        <v>33</v>
      </c>
      <c r="E520" s="1">
        <v>10</v>
      </c>
      <c r="F520" s="1">
        <v>6000</v>
      </c>
      <c r="G520" s="1">
        <v>60000</v>
      </c>
      <c r="H520" s="1">
        <v>15726</v>
      </c>
      <c r="I520" s="1" t="s">
        <v>15</v>
      </c>
      <c r="J520" s="1">
        <v>5</v>
      </c>
      <c r="K520" s="1" t="s">
        <v>16</v>
      </c>
      <c r="L520" s="1">
        <v>4</v>
      </c>
      <c r="M520" s="1" t="s">
        <v>20</v>
      </c>
      <c r="N520" s="5">
        <f>IF(Tabulka1[[#This Row],[E-shop]]="ano",1,0)</f>
        <v>0</v>
      </c>
      <c r="O520" s="5">
        <f>IF(Tabulka1[[#This Row],[Reklamace]]="ano",1,0)</f>
        <v>1</v>
      </c>
    </row>
    <row r="521" spans="1:15" ht="15.75" customHeight="1" x14ac:dyDescent="0.3">
      <c r="A521" s="1">
        <v>952</v>
      </c>
      <c r="B521" s="2">
        <v>45770</v>
      </c>
      <c r="C521" s="1" t="s">
        <v>31</v>
      </c>
      <c r="D521" s="1" t="s">
        <v>29</v>
      </c>
      <c r="E521" s="1">
        <v>3</v>
      </c>
      <c r="F521" s="1">
        <v>20000</v>
      </c>
      <c r="G521" s="1">
        <v>60000</v>
      </c>
      <c r="H521" s="1">
        <v>11914</v>
      </c>
      <c r="I521" s="1" t="s">
        <v>16</v>
      </c>
      <c r="J521" s="1">
        <v>5</v>
      </c>
      <c r="K521" s="1" t="s">
        <v>15</v>
      </c>
      <c r="L521" s="1">
        <v>5</v>
      </c>
      <c r="M521" s="1" t="s">
        <v>20</v>
      </c>
      <c r="N521" s="5">
        <f>IF(Tabulka1[[#This Row],[E-shop]]="ano",1,0)</f>
        <v>1</v>
      </c>
      <c r="O521" s="5">
        <f>IF(Tabulka1[[#This Row],[Reklamace]]="ano",1,0)</f>
        <v>0</v>
      </c>
    </row>
    <row r="522" spans="1:15" ht="15.75" customHeight="1" x14ac:dyDescent="0.3">
      <c r="A522" s="1">
        <v>90</v>
      </c>
      <c r="B522" s="2">
        <v>45360</v>
      </c>
      <c r="C522" s="1" t="s">
        <v>36</v>
      </c>
      <c r="D522" s="1" t="s">
        <v>42</v>
      </c>
      <c r="E522" s="1">
        <v>8</v>
      </c>
      <c r="F522" s="1">
        <v>7000</v>
      </c>
      <c r="G522" s="1">
        <v>56000</v>
      </c>
      <c r="H522" s="1">
        <v>14726</v>
      </c>
      <c r="I522" s="1" t="s">
        <v>15</v>
      </c>
      <c r="J522" s="1">
        <v>7</v>
      </c>
      <c r="K522" s="1" t="s">
        <v>16</v>
      </c>
      <c r="L522" s="1">
        <v>2</v>
      </c>
      <c r="M522" s="1" t="s">
        <v>20</v>
      </c>
      <c r="N522" s="5">
        <f>IF(Tabulka1[[#This Row],[E-shop]]="ano",1,0)</f>
        <v>0</v>
      </c>
      <c r="O522" s="5">
        <f>IF(Tabulka1[[#This Row],[Reklamace]]="ano",1,0)</f>
        <v>1</v>
      </c>
    </row>
    <row r="523" spans="1:15" ht="15.75" customHeight="1" x14ac:dyDescent="0.3">
      <c r="A523" s="1">
        <v>141</v>
      </c>
      <c r="B523" s="2">
        <v>45787</v>
      </c>
      <c r="C523" s="1" t="s">
        <v>31</v>
      </c>
      <c r="D523" s="1" t="s">
        <v>24</v>
      </c>
      <c r="E523" s="1">
        <v>8</v>
      </c>
      <c r="F523" s="1">
        <v>7000</v>
      </c>
      <c r="G523" s="1">
        <v>56000</v>
      </c>
      <c r="H523" s="1">
        <v>13678</v>
      </c>
      <c r="I523" s="1" t="s">
        <v>15</v>
      </c>
      <c r="J523" s="1">
        <v>8</v>
      </c>
      <c r="K523" s="1" t="s">
        <v>16</v>
      </c>
      <c r="L523" s="1">
        <v>3</v>
      </c>
      <c r="M523" s="1" t="s">
        <v>20</v>
      </c>
      <c r="N523" s="5">
        <f>IF(Tabulka1[[#This Row],[E-shop]]="ano",1,0)</f>
        <v>0</v>
      </c>
      <c r="O523" s="5">
        <f>IF(Tabulka1[[#This Row],[Reklamace]]="ano",1,0)</f>
        <v>1</v>
      </c>
    </row>
    <row r="524" spans="1:15" ht="15.75" customHeight="1" x14ac:dyDescent="0.3">
      <c r="A524" s="1">
        <v>202</v>
      </c>
      <c r="B524" s="2">
        <v>45770</v>
      </c>
      <c r="C524" s="1" t="s">
        <v>23</v>
      </c>
      <c r="D524" s="1" t="s">
        <v>37</v>
      </c>
      <c r="E524" s="1">
        <v>8</v>
      </c>
      <c r="F524" s="1">
        <v>7000</v>
      </c>
      <c r="G524" s="1">
        <v>56000</v>
      </c>
      <c r="H524" s="1">
        <v>11892</v>
      </c>
      <c r="I524" s="1" t="s">
        <v>15</v>
      </c>
      <c r="J524" s="1">
        <v>2</v>
      </c>
      <c r="K524" s="1" t="s">
        <v>15</v>
      </c>
      <c r="L524" s="1">
        <v>8</v>
      </c>
      <c r="M524" s="1" t="s">
        <v>17</v>
      </c>
      <c r="N524" s="5">
        <f>IF(Tabulka1[[#This Row],[E-shop]]="ano",1,0)</f>
        <v>0</v>
      </c>
      <c r="O524" s="5">
        <f>IF(Tabulka1[[#This Row],[Reklamace]]="ano",1,0)</f>
        <v>0</v>
      </c>
    </row>
    <row r="525" spans="1:15" ht="15.75" customHeight="1" x14ac:dyDescent="0.3">
      <c r="A525" s="1">
        <v>236</v>
      </c>
      <c r="B525" s="2">
        <v>45977</v>
      </c>
      <c r="C525" s="1" t="s">
        <v>31</v>
      </c>
      <c r="D525" s="1" t="s">
        <v>30</v>
      </c>
      <c r="E525" s="1">
        <v>7</v>
      </c>
      <c r="F525" s="1">
        <v>8000</v>
      </c>
      <c r="G525" s="1">
        <v>56000</v>
      </c>
      <c r="H525" s="1">
        <v>12028</v>
      </c>
      <c r="I525" s="1" t="s">
        <v>15</v>
      </c>
      <c r="J525" s="1">
        <v>5</v>
      </c>
      <c r="K525" s="1" t="s">
        <v>16</v>
      </c>
      <c r="L525" s="1">
        <v>5</v>
      </c>
      <c r="M525" s="1" t="s">
        <v>20</v>
      </c>
      <c r="N525" s="5">
        <f>IF(Tabulka1[[#This Row],[E-shop]]="ano",1,0)</f>
        <v>0</v>
      </c>
      <c r="O525" s="5">
        <f>IF(Tabulka1[[#This Row],[Reklamace]]="ano",1,0)</f>
        <v>1</v>
      </c>
    </row>
    <row r="526" spans="1:15" ht="15.75" customHeight="1" x14ac:dyDescent="0.3">
      <c r="A526" s="1">
        <v>324</v>
      </c>
      <c r="B526" s="2">
        <v>45508</v>
      </c>
      <c r="C526" s="1" t="s">
        <v>21</v>
      </c>
      <c r="D526" s="1" t="s">
        <v>30</v>
      </c>
      <c r="E526" s="1">
        <v>7</v>
      </c>
      <c r="F526" s="1">
        <v>8000</v>
      </c>
      <c r="G526" s="1">
        <v>56000</v>
      </c>
      <c r="H526" s="1">
        <v>10312</v>
      </c>
      <c r="I526" s="1" t="s">
        <v>16</v>
      </c>
      <c r="J526" s="1">
        <v>4</v>
      </c>
      <c r="K526" s="1" t="s">
        <v>15</v>
      </c>
      <c r="L526" s="1">
        <v>5</v>
      </c>
      <c r="M526" s="1" t="s">
        <v>20</v>
      </c>
      <c r="N526" s="5">
        <f>IF(Tabulka1[[#This Row],[E-shop]]="ano",1,0)</f>
        <v>1</v>
      </c>
      <c r="O526" s="5">
        <f>IF(Tabulka1[[#This Row],[Reklamace]]="ano",1,0)</f>
        <v>0</v>
      </c>
    </row>
    <row r="527" spans="1:15" ht="15.75" customHeight="1" x14ac:dyDescent="0.3">
      <c r="A527" s="1">
        <v>351</v>
      </c>
      <c r="B527" s="2">
        <v>45451</v>
      </c>
      <c r="C527" s="1" t="s">
        <v>36</v>
      </c>
      <c r="D527" s="1" t="s">
        <v>27</v>
      </c>
      <c r="E527" s="1">
        <v>14</v>
      </c>
      <c r="F527" s="1">
        <v>4000</v>
      </c>
      <c r="G527" s="1">
        <v>56000</v>
      </c>
      <c r="H527" s="1">
        <v>9480</v>
      </c>
      <c r="I527" s="1" t="s">
        <v>15</v>
      </c>
      <c r="J527" s="1">
        <v>6</v>
      </c>
      <c r="K527" s="1" t="s">
        <v>16</v>
      </c>
      <c r="L527" s="1">
        <v>2</v>
      </c>
      <c r="M527" s="1" t="s">
        <v>20</v>
      </c>
      <c r="N527" s="5">
        <f>IF(Tabulka1[[#This Row],[E-shop]]="ano",1,0)</f>
        <v>0</v>
      </c>
      <c r="O527" s="5">
        <f>IF(Tabulka1[[#This Row],[Reklamace]]="ano",1,0)</f>
        <v>1</v>
      </c>
    </row>
    <row r="528" spans="1:15" ht="15.75" customHeight="1" x14ac:dyDescent="0.3">
      <c r="A528" s="1">
        <v>426</v>
      </c>
      <c r="B528" s="2">
        <v>45351</v>
      </c>
      <c r="C528" s="1" t="s">
        <v>21</v>
      </c>
      <c r="D528" s="1" t="s">
        <v>27</v>
      </c>
      <c r="E528" s="1">
        <v>14</v>
      </c>
      <c r="F528" s="1">
        <v>4000</v>
      </c>
      <c r="G528" s="1">
        <v>56000</v>
      </c>
      <c r="H528" s="1">
        <v>13340</v>
      </c>
      <c r="I528" s="1" t="s">
        <v>15</v>
      </c>
      <c r="J528" s="1">
        <v>3</v>
      </c>
      <c r="K528" s="1" t="s">
        <v>15</v>
      </c>
      <c r="L528" s="1">
        <v>6</v>
      </c>
      <c r="M528" s="1" t="s">
        <v>20</v>
      </c>
      <c r="N528" s="5">
        <f>IF(Tabulka1[[#This Row],[E-shop]]="ano",1,0)</f>
        <v>0</v>
      </c>
      <c r="O528" s="5">
        <f>IF(Tabulka1[[#This Row],[Reklamace]]="ano",1,0)</f>
        <v>0</v>
      </c>
    </row>
    <row r="529" spans="1:15" ht="15.75" customHeight="1" x14ac:dyDescent="0.3">
      <c r="A529" s="1">
        <v>451</v>
      </c>
      <c r="B529" s="2">
        <v>45782</v>
      </c>
      <c r="C529" s="1" t="s">
        <v>18</v>
      </c>
      <c r="D529" s="1" t="s">
        <v>42</v>
      </c>
      <c r="E529" s="1">
        <v>8</v>
      </c>
      <c r="F529" s="1">
        <v>7000</v>
      </c>
      <c r="G529" s="1">
        <v>56000</v>
      </c>
      <c r="H529" s="1">
        <v>8834</v>
      </c>
      <c r="I529" s="1" t="s">
        <v>15</v>
      </c>
      <c r="J529" s="1">
        <v>8</v>
      </c>
      <c r="K529" s="1" t="s">
        <v>15</v>
      </c>
      <c r="L529" s="1">
        <v>1</v>
      </c>
      <c r="M529" s="1" t="s">
        <v>20</v>
      </c>
      <c r="N529" s="5">
        <f>IF(Tabulka1[[#This Row],[E-shop]]="ano",1,0)</f>
        <v>0</v>
      </c>
      <c r="O529" s="5">
        <f>IF(Tabulka1[[#This Row],[Reklamace]]="ano",1,0)</f>
        <v>0</v>
      </c>
    </row>
    <row r="530" spans="1:15" ht="15.75" customHeight="1" x14ac:dyDescent="0.3">
      <c r="A530" s="1">
        <v>459</v>
      </c>
      <c r="B530" s="2">
        <v>45667</v>
      </c>
      <c r="C530" s="1" t="s">
        <v>21</v>
      </c>
      <c r="D530" s="1" t="s">
        <v>27</v>
      </c>
      <c r="E530" s="1">
        <v>14</v>
      </c>
      <c r="F530" s="1">
        <v>4000</v>
      </c>
      <c r="G530" s="1">
        <v>56000</v>
      </c>
      <c r="H530" s="1">
        <v>10714</v>
      </c>
      <c r="I530" s="1" t="s">
        <v>16</v>
      </c>
      <c r="J530" s="1">
        <v>8</v>
      </c>
      <c r="K530" s="1" t="s">
        <v>16</v>
      </c>
      <c r="L530" s="1">
        <v>2</v>
      </c>
      <c r="M530" s="1" t="s">
        <v>20</v>
      </c>
      <c r="N530" s="5">
        <f>IF(Tabulka1[[#This Row],[E-shop]]="ano",1,0)</f>
        <v>1</v>
      </c>
      <c r="O530" s="5">
        <f>IF(Tabulka1[[#This Row],[Reklamace]]="ano",1,0)</f>
        <v>1</v>
      </c>
    </row>
    <row r="531" spans="1:15" ht="15.75" customHeight="1" x14ac:dyDescent="0.3">
      <c r="A531" s="1">
        <v>744</v>
      </c>
      <c r="B531" s="2">
        <v>45940</v>
      </c>
      <c r="C531" s="1" t="s">
        <v>31</v>
      </c>
      <c r="D531" s="1" t="s">
        <v>27</v>
      </c>
      <c r="E531" s="1">
        <v>14</v>
      </c>
      <c r="F531" s="1">
        <v>4000</v>
      </c>
      <c r="G531" s="1">
        <v>56000</v>
      </c>
      <c r="H531" s="1">
        <v>13204</v>
      </c>
      <c r="I531" s="1" t="s">
        <v>15</v>
      </c>
      <c r="J531" s="1">
        <v>6</v>
      </c>
      <c r="K531" s="1" t="s">
        <v>16</v>
      </c>
      <c r="L531" s="1">
        <v>2</v>
      </c>
      <c r="M531" s="1" t="s">
        <v>20</v>
      </c>
      <c r="N531" s="5">
        <f>IF(Tabulka1[[#This Row],[E-shop]]="ano",1,0)</f>
        <v>0</v>
      </c>
      <c r="O531" s="5">
        <f>IF(Tabulka1[[#This Row],[Reklamace]]="ano",1,0)</f>
        <v>1</v>
      </c>
    </row>
    <row r="532" spans="1:15" ht="15.75" customHeight="1" x14ac:dyDescent="0.3">
      <c r="A532" s="1">
        <v>768</v>
      </c>
      <c r="B532" s="2">
        <v>45605</v>
      </c>
      <c r="C532" s="1" t="s">
        <v>21</v>
      </c>
      <c r="D532" s="1" t="s">
        <v>30</v>
      </c>
      <c r="E532" s="1">
        <v>7</v>
      </c>
      <c r="F532" s="1">
        <v>8000</v>
      </c>
      <c r="G532" s="1">
        <v>56000</v>
      </c>
      <c r="H532" s="1">
        <v>13641</v>
      </c>
      <c r="I532" s="1" t="s">
        <v>16</v>
      </c>
      <c r="J532" s="1">
        <v>8</v>
      </c>
      <c r="K532" s="1" t="s">
        <v>16</v>
      </c>
      <c r="L532" s="1">
        <v>3</v>
      </c>
      <c r="M532" s="1" t="s">
        <v>20</v>
      </c>
      <c r="N532" s="5">
        <f>IF(Tabulka1[[#This Row],[E-shop]]="ano",1,0)</f>
        <v>1</v>
      </c>
      <c r="O532" s="5">
        <f>IF(Tabulka1[[#This Row],[Reklamace]]="ano",1,0)</f>
        <v>1</v>
      </c>
    </row>
    <row r="533" spans="1:15" ht="15.75" customHeight="1" x14ac:dyDescent="0.3">
      <c r="A533" s="1">
        <v>781</v>
      </c>
      <c r="B533" s="2">
        <v>46004</v>
      </c>
      <c r="C533" s="1" t="s">
        <v>13</v>
      </c>
      <c r="D533" s="1" t="s">
        <v>27</v>
      </c>
      <c r="E533" s="1">
        <v>14</v>
      </c>
      <c r="F533" s="1">
        <v>4000</v>
      </c>
      <c r="G533" s="1">
        <v>56000</v>
      </c>
      <c r="H533" s="1">
        <v>12842</v>
      </c>
      <c r="I533" s="1" t="s">
        <v>15</v>
      </c>
      <c r="J533" s="1">
        <v>8</v>
      </c>
      <c r="K533" s="1" t="s">
        <v>15</v>
      </c>
      <c r="L533" s="1">
        <v>2</v>
      </c>
      <c r="M533" s="1" t="s">
        <v>20</v>
      </c>
      <c r="N533" s="5">
        <f>IF(Tabulka1[[#This Row],[E-shop]]="ano",1,0)</f>
        <v>0</v>
      </c>
      <c r="O533" s="5">
        <f>IF(Tabulka1[[#This Row],[Reklamace]]="ano",1,0)</f>
        <v>0</v>
      </c>
    </row>
    <row r="534" spans="1:15" ht="15.75" customHeight="1" x14ac:dyDescent="0.3">
      <c r="A534" s="1">
        <v>886</v>
      </c>
      <c r="B534" s="2">
        <v>45445</v>
      </c>
      <c r="C534" s="1" t="s">
        <v>31</v>
      </c>
      <c r="D534" s="1" t="s">
        <v>30</v>
      </c>
      <c r="E534" s="1">
        <v>7</v>
      </c>
      <c r="F534" s="1">
        <v>8000</v>
      </c>
      <c r="G534" s="1">
        <v>56000</v>
      </c>
      <c r="H534" s="1">
        <v>13973</v>
      </c>
      <c r="I534" s="1" t="s">
        <v>15</v>
      </c>
      <c r="J534" s="1">
        <v>3</v>
      </c>
      <c r="K534" s="1" t="s">
        <v>15</v>
      </c>
      <c r="L534" s="1">
        <v>8</v>
      </c>
      <c r="M534" s="1" t="s">
        <v>17</v>
      </c>
      <c r="N534" s="5">
        <f>IF(Tabulka1[[#This Row],[E-shop]]="ano",1,0)</f>
        <v>0</v>
      </c>
      <c r="O534" s="5">
        <f>IF(Tabulka1[[#This Row],[Reklamace]]="ano",1,0)</f>
        <v>0</v>
      </c>
    </row>
    <row r="535" spans="1:15" ht="15.75" customHeight="1" x14ac:dyDescent="0.3">
      <c r="A535" s="1">
        <v>890</v>
      </c>
      <c r="B535" s="2">
        <v>45441</v>
      </c>
      <c r="C535" s="1" t="s">
        <v>36</v>
      </c>
      <c r="D535" s="1" t="s">
        <v>37</v>
      </c>
      <c r="E535" s="1">
        <v>8</v>
      </c>
      <c r="F535" s="1">
        <v>7000</v>
      </c>
      <c r="G535" s="1">
        <v>56000</v>
      </c>
      <c r="H535" s="1">
        <v>10357</v>
      </c>
      <c r="I535" s="1" t="s">
        <v>15</v>
      </c>
      <c r="J535" s="1">
        <v>4</v>
      </c>
      <c r="K535" s="1" t="s">
        <v>15</v>
      </c>
      <c r="L535" s="1">
        <v>7</v>
      </c>
      <c r="M535" s="1" t="s">
        <v>20</v>
      </c>
      <c r="N535" s="5">
        <f>IF(Tabulka1[[#This Row],[E-shop]]="ano",1,0)</f>
        <v>0</v>
      </c>
      <c r="O535" s="5">
        <f>IF(Tabulka1[[#This Row],[Reklamace]]="ano",1,0)</f>
        <v>0</v>
      </c>
    </row>
    <row r="536" spans="1:15" ht="15.75" customHeight="1" x14ac:dyDescent="0.3">
      <c r="A536" s="1">
        <v>962</v>
      </c>
      <c r="B536" s="2">
        <v>45682</v>
      </c>
      <c r="C536" s="1" t="s">
        <v>31</v>
      </c>
      <c r="D536" s="1" t="s">
        <v>37</v>
      </c>
      <c r="E536" s="1">
        <v>8</v>
      </c>
      <c r="F536" s="1">
        <v>7000</v>
      </c>
      <c r="G536" s="1">
        <v>56000</v>
      </c>
      <c r="H536" s="1">
        <v>15728</v>
      </c>
      <c r="I536" s="1" t="s">
        <v>15</v>
      </c>
      <c r="J536" s="1">
        <v>7</v>
      </c>
      <c r="K536" s="1" t="s">
        <v>16</v>
      </c>
      <c r="L536" s="1">
        <v>4</v>
      </c>
      <c r="M536" s="1" t="s">
        <v>20</v>
      </c>
      <c r="N536" s="5">
        <f>IF(Tabulka1[[#This Row],[E-shop]]="ano",1,0)</f>
        <v>0</v>
      </c>
      <c r="O536" s="5">
        <f>IF(Tabulka1[[#This Row],[Reklamace]]="ano",1,0)</f>
        <v>1</v>
      </c>
    </row>
    <row r="537" spans="1:15" ht="15.75" customHeight="1" x14ac:dyDescent="0.3">
      <c r="A537" s="1">
        <v>977</v>
      </c>
      <c r="B537" s="2">
        <v>45525</v>
      </c>
      <c r="C537" s="1" t="s">
        <v>23</v>
      </c>
      <c r="D537" s="1" t="s">
        <v>30</v>
      </c>
      <c r="E537" s="1">
        <v>7</v>
      </c>
      <c r="F537" s="1">
        <v>8000</v>
      </c>
      <c r="G537" s="1">
        <v>56000</v>
      </c>
      <c r="H537" s="1">
        <v>15947</v>
      </c>
      <c r="I537" s="1" t="s">
        <v>16</v>
      </c>
      <c r="J537" s="1">
        <v>8</v>
      </c>
      <c r="K537" s="1" t="s">
        <v>16</v>
      </c>
      <c r="L537" s="1">
        <v>1</v>
      </c>
      <c r="M537" s="1" t="s">
        <v>17</v>
      </c>
      <c r="N537" s="5">
        <f>IF(Tabulka1[[#This Row],[E-shop]]="ano",1,0)</f>
        <v>1</v>
      </c>
      <c r="O537" s="5">
        <f>IF(Tabulka1[[#This Row],[Reklamace]]="ano",1,0)</f>
        <v>1</v>
      </c>
    </row>
    <row r="538" spans="1:15" ht="15.75" customHeight="1" x14ac:dyDescent="0.3">
      <c r="A538" s="1">
        <v>58</v>
      </c>
      <c r="B538" s="2">
        <v>45941</v>
      </c>
      <c r="C538" s="1" t="s">
        <v>18</v>
      </c>
      <c r="D538" s="1" t="s">
        <v>43</v>
      </c>
      <c r="E538" s="1">
        <v>5</v>
      </c>
      <c r="F538" s="1">
        <v>11000</v>
      </c>
      <c r="G538" s="1">
        <v>55000</v>
      </c>
      <c r="H538" s="1">
        <v>10599</v>
      </c>
      <c r="I538" s="1" t="s">
        <v>16</v>
      </c>
      <c r="J538" s="1">
        <v>3</v>
      </c>
      <c r="K538" s="1" t="s">
        <v>15</v>
      </c>
      <c r="L538" s="1">
        <v>6</v>
      </c>
      <c r="M538" s="1" t="s">
        <v>20</v>
      </c>
      <c r="N538" s="5">
        <f>IF(Tabulka1[[#This Row],[E-shop]]="ano",1,0)</f>
        <v>1</v>
      </c>
      <c r="O538" s="5">
        <f>IF(Tabulka1[[#This Row],[Reklamace]]="ano",1,0)</f>
        <v>0</v>
      </c>
    </row>
    <row r="539" spans="1:15" ht="15.75" customHeight="1" x14ac:dyDescent="0.3">
      <c r="A539" s="1">
        <v>92</v>
      </c>
      <c r="B539" s="2">
        <v>45839</v>
      </c>
      <c r="C539" s="1" t="s">
        <v>25</v>
      </c>
      <c r="D539" s="1" t="s">
        <v>41</v>
      </c>
      <c r="E539" s="1">
        <v>11</v>
      </c>
      <c r="F539" s="1">
        <v>5000</v>
      </c>
      <c r="G539" s="1">
        <v>55000</v>
      </c>
      <c r="H539" s="1">
        <v>9134</v>
      </c>
      <c r="I539" s="1" t="s">
        <v>15</v>
      </c>
      <c r="J539" s="1">
        <v>8</v>
      </c>
      <c r="K539" s="1" t="s">
        <v>16</v>
      </c>
      <c r="L539" s="1">
        <v>1</v>
      </c>
      <c r="M539" s="1" t="s">
        <v>20</v>
      </c>
      <c r="N539" s="5">
        <f>IF(Tabulka1[[#This Row],[E-shop]]="ano",1,0)</f>
        <v>0</v>
      </c>
      <c r="O539" s="5">
        <f>IF(Tabulka1[[#This Row],[Reklamace]]="ano",1,0)</f>
        <v>1</v>
      </c>
    </row>
    <row r="540" spans="1:15" ht="15.75" customHeight="1" x14ac:dyDescent="0.3">
      <c r="A540" s="1">
        <v>311</v>
      </c>
      <c r="B540" s="2">
        <v>45413</v>
      </c>
      <c r="C540" s="1" t="s">
        <v>31</v>
      </c>
      <c r="D540" s="1" t="s">
        <v>41</v>
      </c>
      <c r="E540" s="1">
        <v>11</v>
      </c>
      <c r="F540" s="1">
        <v>5000</v>
      </c>
      <c r="G540" s="1">
        <v>55000</v>
      </c>
      <c r="H540" s="1">
        <v>15830</v>
      </c>
      <c r="I540" s="1" t="s">
        <v>16</v>
      </c>
      <c r="J540" s="1">
        <v>5</v>
      </c>
      <c r="K540" s="1" t="s">
        <v>16</v>
      </c>
      <c r="L540" s="1">
        <v>4</v>
      </c>
      <c r="M540" s="1" t="s">
        <v>20</v>
      </c>
      <c r="N540" s="5">
        <f>IF(Tabulka1[[#This Row],[E-shop]]="ano",1,0)</f>
        <v>1</v>
      </c>
      <c r="O540" s="5">
        <f>IF(Tabulka1[[#This Row],[Reklamace]]="ano",1,0)</f>
        <v>1</v>
      </c>
    </row>
    <row r="541" spans="1:15" ht="15.75" customHeight="1" x14ac:dyDescent="0.3">
      <c r="A541" s="1">
        <v>462</v>
      </c>
      <c r="B541" s="2">
        <v>45453</v>
      </c>
      <c r="C541" s="1" t="s">
        <v>31</v>
      </c>
      <c r="D541" s="1" t="s">
        <v>41</v>
      </c>
      <c r="E541" s="1">
        <v>11</v>
      </c>
      <c r="F541" s="1">
        <v>5000</v>
      </c>
      <c r="G541" s="1">
        <v>55000</v>
      </c>
      <c r="H541" s="1">
        <v>14983</v>
      </c>
      <c r="I541" s="1" t="s">
        <v>15</v>
      </c>
      <c r="J541" s="1">
        <v>5</v>
      </c>
      <c r="K541" s="1" t="s">
        <v>15</v>
      </c>
      <c r="L541" s="1">
        <v>5</v>
      </c>
      <c r="M541" s="1" t="s">
        <v>17</v>
      </c>
      <c r="N541" s="5">
        <f>IF(Tabulka1[[#This Row],[E-shop]]="ano",1,0)</f>
        <v>0</v>
      </c>
      <c r="O541" s="5">
        <f>IF(Tabulka1[[#This Row],[Reklamace]]="ano",1,0)</f>
        <v>0</v>
      </c>
    </row>
    <row r="542" spans="1:15" ht="15.75" customHeight="1" x14ac:dyDescent="0.3">
      <c r="A542" s="1">
        <v>586</v>
      </c>
      <c r="B542" s="2">
        <v>45420</v>
      </c>
      <c r="C542" s="1" t="s">
        <v>36</v>
      </c>
      <c r="D542" s="1" t="s">
        <v>41</v>
      </c>
      <c r="E542" s="1">
        <v>11</v>
      </c>
      <c r="F542" s="1">
        <v>5000</v>
      </c>
      <c r="G542" s="1">
        <v>55000</v>
      </c>
      <c r="H542" s="1">
        <v>10680</v>
      </c>
      <c r="I542" s="1" t="s">
        <v>16</v>
      </c>
      <c r="J542" s="1">
        <v>9</v>
      </c>
      <c r="K542" s="1" t="s">
        <v>15</v>
      </c>
      <c r="L542" s="1">
        <v>1</v>
      </c>
      <c r="M542" s="1" t="s">
        <v>20</v>
      </c>
      <c r="N542" s="5">
        <f>IF(Tabulka1[[#This Row],[E-shop]]="ano",1,0)</f>
        <v>1</v>
      </c>
      <c r="O542" s="5">
        <f>IF(Tabulka1[[#This Row],[Reklamace]]="ano",1,0)</f>
        <v>0</v>
      </c>
    </row>
    <row r="543" spans="1:15" ht="15.75" customHeight="1" x14ac:dyDescent="0.3">
      <c r="A543" s="1">
        <v>626</v>
      </c>
      <c r="B543" s="2">
        <v>45960</v>
      </c>
      <c r="C543" s="1" t="s">
        <v>25</v>
      </c>
      <c r="D543" s="1" t="s">
        <v>41</v>
      </c>
      <c r="E543" s="1">
        <v>11</v>
      </c>
      <c r="F543" s="1">
        <v>5000</v>
      </c>
      <c r="G543" s="1">
        <v>55000</v>
      </c>
      <c r="H543" s="1">
        <v>16097</v>
      </c>
      <c r="I543" s="1" t="s">
        <v>16</v>
      </c>
      <c r="J543" s="1">
        <v>4</v>
      </c>
      <c r="K543" s="1" t="s">
        <v>15</v>
      </c>
      <c r="L543" s="1">
        <v>5</v>
      </c>
      <c r="M543" s="1" t="s">
        <v>20</v>
      </c>
      <c r="N543" s="5">
        <f>IF(Tabulka1[[#This Row],[E-shop]]="ano",1,0)</f>
        <v>1</v>
      </c>
      <c r="O543" s="5">
        <f>IF(Tabulka1[[#This Row],[Reklamace]]="ano",1,0)</f>
        <v>0</v>
      </c>
    </row>
    <row r="544" spans="1:15" ht="15.75" customHeight="1" x14ac:dyDescent="0.3">
      <c r="A544" s="1">
        <v>771</v>
      </c>
      <c r="B544" s="2">
        <v>45455</v>
      </c>
      <c r="C544" s="1" t="s">
        <v>23</v>
      </c>
      <c r="D544" s="1" t="s">
        <v>43</v>
      </c>
      <c r="E544" s="1">
        <v>5</v>
      </c>
      <c r="F544" s="1">
        <v>11000</v>
      </c>
      <c r="G544" s="1">
        <v>55000</v>
      </c>
      <c r="H544" s="1">
        <v>16390</v>
      </c>
      <c r="I544" s="1" t="s">
        <v>15</v>
      </c>
      <c r="J544" s="1">
        <v>3</v>
      </c>
      <c r="K544" s="1" t="s">
        <v>15</v>
      </c>
      <c r="L544" s="1">
        <v>7</v>
      </c>
      <c r="M544" s="1" t="s">
        <v>20</v>
      </c>
      <c r="N544" s="5">
        <f>IF(Tabulka1[[#This Row],[E-shop]]="ano",1,0)</f>
        <v>0</v>
      </c>
      <c r="O544" s="5">
        <f>IF(Tabulka1[[#This Row],[Reklamace]]="ano",1,0)</f>
        <v>0</v>
      </c>
    </row>
    <row r="545" spans="1:15" ht="15.75" customHeight="1" x14ac:dyDescent="0.3">
      <c r="A545" s="1">
        <v>782</v>
      </c>
      <c r="B545" s="2">
        <v>45662</v>
      </c>
      <c r="C545" s="1" t="s">
        <v>25</v>
      </c>
      <c r="D545" s="1" t="s">
        <v>41</v>
      </c>
      <c r="E545" s="1">
        <v>11</v>
      </c>
      <c r="F545" s="1">
        <v>5000</v>
      </c>
      <c r="G545" s="1">
        <v>55000</v>
      </c>
      <c r="H545" s="1">
        <v>14214</v>
      </c>
      <c r="I545" s="1" t="s">
        <v>16</v>
      </c>
      <c r="J545" s="1">
        <v>6</v>
      </c>
      <c r="K545" s="1" t="s">
        <v>15</v>
      </c>
      <c r="L545" s="1">
        <v>3</v>
      </c>
      <c r="M545" s="1" t="s">
        <v>20</v>
      </c>
      <c r="N545" s="5">
        <f>IF(Tabulka1[[#This Row],[E-shop]]="ano",1,0)</f>
        <v>1</v>
      </c>
      <c r="O545" s="5">
        <f>IF(Tabulka1[[#This Row],[Reklamace]]="ano",1,0)</f>
        <v>0</v>
      </c>
    </row>
    <row r="546" spans="1:15" ht="15.75" customHeight="1" x14ac:dyDescent="0.3">
      <c r="A546" s="1">
        <v>864</v>
      </c>
      <c r="B546" s="2">
        <v>45307</v>
      </c>
      <c r="C546" s="1" t="s">
        <v>36</v>
      </c>
      <c r="D546" s="1" t="s">
        <v>43</v>
      </c>
      <c r="E546" s="1">
        <v>5</v>
      </c>
      <c r="F546" s="1">
        <v>11000</v>
      </c>
      <c r="G546" s="1">
        <v>55000</v>
      </c>
      <c r="H546" s="1">
        <v>15560</v>
      </c>
      <c r="I546" s="1" t="s">
        <v>16</v>
      </c>
      <c r="J546" s="1">
        <v>7</v>
      </c>
      <c r="K546" s="1" t="s">
        <v>16</v>
      </c>
      <c r="L546" s="1">
        <v>2</v>
      </c>
      <c r="M546" s="1" t="s">
        <v>20</v>
      </c>
      <c r="N546" s="5">
        <f>IF(Tabulka1[[#This Row],[E-shop]]="ano",1,0)</f>
        <v>1</v>
      </c>
      <c r="O546" s="5">
        <f>IF(Tabulka1[[#This Row],[Reklamace]]="ano",1,0)</f>
        <v>1</v>
      </c>
    </row>
    <row r="547" spans="1:15" ht="15.75" customHeight="1" x14ac:dyDescent="0.3">
      <c r="A547" s="1">
        <v>868</v>
      </c>
      <c r="B547" s="2">
        <v>45567</v>
      </c>
      <c r="C547" s="1" t="s">
        <v>23</v>
      </c>
      <c r="D547" s="1" t="s">
        <v>41</v>
      </c>
      <c r="E547" s="1">
        <v>11</v>
      </c>
      <c r="F547" s="1">
        <v>5000</v>
      </c>
      <c r="G547" s="1">
        <v>55000</v>
      </c>
      <c r="H547" s="1">
        <v>14709</v>
      </c>
      <c r="I547" s="1" t="s">
        <v>16</v>
      </c>
      <c r="J547" s="1">
        <v>8</v>
      </c>
      <c r="K547" s="1" t="s">
        <v>16</v>
      </c>
      <c r="L547" s="1">
        <v>2</v>
      </c>
      <c r="M547" s="1" t="s">
        <v>20</v>
      </c>
      <c r="N547" s="5">
        <f>IF(Tabulka1[[#This Row],[E-shop]]="ano",1,0)</f>
        <v>1</v>
      </c>
      <c r="O547" s="5">
        <f>IF(Tabulka1[[#This Row],[Reklamace]]="ano",1,0)</f>
        <v>1</v>
      </c>
    </row>
    <row r="548" spans="1:15" ht="15.75" customHeight="1" x14ac:dyDescent="0.3">
      <c r="A548" s="1">
        <v>158</v>
      </c>
      <c r="B548" s="2">
        <v>45857</v>
      </c>
      <c r="C548" s="1" t="s">
        <v>31</v>
      </c>
      <c r="D548" s="1" t="s">
        <v>33</v>
      </c>
      <c r="E548" s="1">
        <v>9</v>
      </c>
      <c r="F548" s="1">
        <v>6000</v>
      </c>
      <c r="G548" s="1">
        <v>54000</v>
      </c>
      <c r="H548" s="1">
        <v>8743</v>
      </c>
      <c r="I548" s="1" t="s">
        <v>15</v>
      </c>
      <c r="J548" s="1">
        <v>6</v>
      </c>
      <c r="K548" s="1" t="s">
        <v>15</v>
      </c>
      <c r="L548" s="1">
        <v>3</v>
      </c>
      <c r="M548" s="1" t="s">
        <v>20</v>
      </c>
      <c r="N548" s="5">
        <f>IF(Tabulka1[[#This Row],[E-shop]]="ano",1,0)</f>
        <v>0</v>
      </c>
      <c r="O548" s="5">
        <f>IF(Tabulka1[[#This Row],[Reklamace]]="ano",1,0)</f>
        <v>0</v>
      </c>
    </row>
    <row r="549" spans="1:15" ht="15.75" customHeight="1" x14ac:dyDescent="0.3">
      <c r="A549" s="1">
        <v>172</v>
      </c>
      <c r="B549" s="2">
        <v>45499</v>
      </c>
      <c r="C549" s="1" t="s">
        <v>31</v>
      </c>
      <c r="D549" s="1" t="s">
        <v>19</v>
      </c>
      <c r="E549" s="1">
        <v>6</v>
      </c>
      <c r="F549" s="1">
        <v>9000</v>
      </c>
      <c r="G549" s="1">
        <v>54000</v>
      </c>
      <c r="H549" s="1">
        <v>10883</v>
      </c>
      <c r="I549" s="1" t="s">
        <v>15</v>
      </c>
      <c r="J549" s="1">
        <v>8</v>
      </c>
      <c r="K549" s="1" t="s">
        <v>15</v>
      </c>
      <c r="L549" s="1">
        <v>2</v>
      </c>
      <c r="M549" s="1" t="s">
        <v>20</v>
      </c>
      <c r="N549" s="5">
        <f>IF(Tabulka1[[#This Row],[E-shop]]="ano",1,0)</f>
        <v>0</v>
      </c>
      <c r="O549" s="5">
        <f>IF(Tabulka1[[#This Row],[Reklamace]]="ano",1,0)</f>
        <v>0</v>
      </c>
    </row>
    <row r="550" spans="1:15" ht="15.75" customHeight="1" x14ac:dyDescent="0.3">
      <c r="A550" s="1">
        <v>180</v>
      </c>
      <c r="B550" s="2">
        <v>45608</v>
      </c>
      <c r="C550" s="1" t="s">
        <v>31</v>
      </c>
      <c r="D550" s="1" t="s">
        <v>28</v>
      </c>
      <c r="E550" s="1">
        <v>3</v>
      </c>
      <c r="F550" s="1">
        <v>18000</v>
      </c>
      <c r="G550" s="1">
        <v>54000</v>
      </c>
      <c r="H550" s="1">
        <v>12958</v>
      </c>
      <c r="I550" s="1" t="s">
        <v>16</v>
      </c>
      <c r="J550" s="1">
        <v>5</v>
      </c>
      <c r="K550" s="1" t="s">
        <v>15</v>
      </c>
      <c r="L550" s="1">
        <v>5</v>
      </c>
      <c r="M550" s="1" t="s">
        <v>17</v>
      </c>
      <c r="N550" s="5">
        <f>IF(Tabulka1[[#This Row],[E-shop]]="ano",1,0)</f>
        <v>1</v>
      </c>
      <c r="O550" s="5">
        <f>IF(Tabulka1[[#This Row],[Reklamace]]="ano",1,0)</f>
        <v>0</v>
      </c>
    </row>
    <row r="551" spans="1:15" ht="15.75" customHeight="1" x14ac:dyDescent="0.3">
      <c r="A551" s="1">
        <v>218</v>
      </c>
      <c r="B551" s="2">
        <v>45960</v>
      </c>
      <c r="C551" s="1" t="s">
        <v>21</v>
      </c>
      <c r="D551" s="1" t="s">
        <v>19</v>
      </c>
      <c r="E551" s="1">
        <v>6</v>
      </c>
      <c r="F551" s="1">
        <v>9000</v>
      </c>
      <c r="G551" s="1">
        <v>54000</v>
      </c>
      <c r="H551" s="1">
        <v>14081</v>
      </c>
      <c r="I551" s="1" t="s">
        <v>15</v>
      </c>
      <c r="J551" s="1">
        <v>7</v>
      </c>
      <c r="K551" s="1" t="s">
        <v>15</v>
      </c>
      <c r="L551" s="1">
        <v>1</v>
      </c>
      <c r="M551" s="1" t="s">
        <v>20</v>
      </c>
      <c r="N551" s="5">
        <f>IF(Tabulka1[[#This Row],[E-shop]]="ano",1,0)</f>
        <v>0</v>
      </c>
      <c r="O551" s="5">
        <f>IF(Tabulka1[[#This Row],[Reklamace]]="ano",1,0)</f>
        <v>0</v>
      </c>
    </row>
    <row r="552" spans="1:15" ht="15.75" customHeight="1" x14ac:dyDescent="0.3">
      <c r="A552" s="1">
        <v>359</v>
      </c>
      <c r="B552" s="2">
        <v>45322</v>
      </c>
      <c r="C552" s="1" t="s">
        <v>13</v>
      </c>
      <c r="D552" s="1" t="s">
        <v>28</v>
      </c>
      <c r="E552" s="1">
        <v>3</v>
      </c>
      <c r="F552" s="1">
        <v>18000</v>
      </c>
      <c r="G552" s="1">
        <v>54000</v>
      </c>
      <c r="H552" s="1">
        <v>9250</v>
      </c>
      <c r="I552" s="1" t="s">
        <v>16</v>
      </c>
      <c r="J552" s="1">
        <v>7</v>
      </c>
      <c r="K552" s="1" t="s">
        <v>15</v>
      </c>
      <c r="L552" s="1">
        <v>4</v>
      </c>
      <c r="M552" s="1" t="s">
        <v>20</v>
      </c>
      <c r="N552" s="5">
        <f>IF(Tabulka1[[#This Row],[E-shop]]="ano",1,0)</f>
        <v>1</v>
      </c>
      <c r="O552" s="5">
        <f>IF(Tabulka1[[#This Row],[Reklamace]]="ano",1,0)</f>
        <v>0</v>
      </c>
    </row>
    <row r="553" spans="1:15" ht="15.75" customHeight="1" x14ac:dyDescent="0.3">
      <c r="A553" s="1">
        <v>435</v>
      </c>
      <c r="B553" s="2">
        <v>45330</v>
      </c>
      <c r="C553" s="1" t="s">
        <v>31</v>
      </c>
      <c r="D553" s="1" t="s">
        <v>19</v>
      </c>
      <c r="E553" s="1">
        <v>6</v>
      </c>
      <c r="F553" s="1">
        <v>9000</v>
      </c>
      <c r="G553" s="1">
        <v>54000</v>
      </c>
      <c r="H553" s="1">
        <v>9811</v>
      </c>
      <c r="I553" s="1" t="s">
        <v>16</v>
      </c>
      <c r="J553" s="1">
        <v>5</v>
      </c>
      <c r="K553" s="1" t="s">
        <v>16</v>
      </c>
      <c r="L553" s="1">
        <v>4</v>
      </c>
      <c r="M553" s="1" t="s">
        <v>20</v>
      </c>
      <c r="N553" s="5">
        <f>IF(Tabulka1[[#This Row],[E-shop]]="ano",1,0)</f>
        <v>1</v>
      </c>
      <c r="O553" s="5">
        <f>IF(Tabulka1[[#This Row],[Reklamace]]="ano",1,0)</f>
        <v>1</v>
      </c>
    </row>
    <row r="554" spans="1:15" ht="15.75" customHeight="1" x14ac:dyDescent="0.3">
      <c r="A554" s="1">
        <v>507</v>
      </c>
      <c r="B554" s="2">
        <v>45705</v>
      </c>
      <c r="C554" s="1" t="s">
        <v>31</v>
      </c>
      <c r="D554" s="1" t="s">
        <v>33</v>
      </c>
      <c r="E554" s="1">
        <v>9</v>
      </c>
      <c r="F554" s="1">
        <v>6000</v>
      </c>
      <c r="G554" s="1">
        <v>54000</v>
      </c>
      <c r="H554" s="1">
        <v>10018</v>
      </c>
      <c r="I554" s="1" t="s">
        <v>16</v>
      </c>
      <c r="J554" s="1">
        <v>3</v>
      </c>
      <c r="K554" s="1" t="s">
        <v>15</v>
      </c>
      <c r="L554" s="1">
        <v>8</v>
      </c>
      <c r="M554" s="1" t="s">
        <v>20</v>
      </c>
      <c r="N554" s="5">
        <f>IF(Tabulka1[[#This Row],[E-shop]]="ano",1,0)</f>
        <v>1</v>
      </c>
      <c r="O554" s="5">
        <f>IF(Tabulka1[[#This Row],[Reklamace]]="ano",1,0)</f>
        <v>0</v>
      </c>
    </row>
    <row r="555" spans="1:15" ht="15.75" customHeight="1" x14ac:dyDescent="0.3">
      <c r="A555" s="1">
        <v>801</v>
      </c>
      <c r="B555" s="2">
        <v>45679</v>
      </c>
      <c r="C555" s="1" t="s">
        <v>13</v>
      </c>
      <c r="D555" s="1" t="s">
        <v>33</v>
      </c>
      <c r="E555" s="1">
        <v>9</v>
      </c>
      <c r="F555" s="1">
        <v>6000</v>
      </c>
      <c r="G555" s="1">
        <v>54000</v>
      </c>
      <c r="H555" s="1">
        <v>9062</v>
      </c>
      <c r="I555" s="1" t="s">
        <v>15</v>
      </c>
      <c r="J555" s="1">
        <v>7</v>
      </c>
      <c r="K555" s="1" t="s">
        <v>15</v>
      </c>
      <c r="L555" s="1">
        <v>3</v>
      </c>
      <c r="M555" s="1" t="s">
        <v>20</v>
      </c>
      <c r="N555" s="5">
        <f>IF(Tabulka1[[#This Row],[E-shop]]="ano",1,0)</f>
        <v>0</v>
      </c>
      <c r="O555" s="5">
        <f>IF(Tabulka1[[#This Row],[Reklamace]]="ano",1,0)</f>
        <v>0</v>
      </c>
    </row>
    <row r="556" spans="1:15" ht="15.75" customHeight="1" x14ac:dyDescent="0.3">
      <c r="A556" s="1">
        <v>889</v>
      </c>
      <c r="B556" s="2">
        <v>45331</v>
      </c>
      <c r="C556" s="1" t="s">
        <v>25</v>
      </c>
      <c r="D556" s="1" t="s">
        <v>38</v>
      </c>
      <c r="E556" s="1">
        <v>6</v>
      </c>
      <c r="F556" s="1">
        <v>9000</v>
      </c>
      <c r="G556" s="1">
        <v>54000</v>
      </c>
      <c r="H556" s="1">
        <v>8623</v>
      </c>
      <c r="I556" s="1" t="s">
        <v>15</v>
      </c>
      <c r="J556" s="1">
        <v>8</v>
      </c>
      <c r="K556" s="1" t="s">
        <v>15</v>
      </c>
      <c r="L556" s="1">
        <v>1</v>
      </c>
      <c r="M556" s="1" t="s">
        <v>20</v>
      </c>
      <c r="N556" s="5">
        <f>IF(Tabulka1[[#This Row],[E-shop]]="ano",1,0)</f>
        <v>0</v>
      </c>
      <c r="O556" s="5">
        <f>IF(Tabulka1[[#This Row],[Reklamace]]="ano",1,0)</f>
        <v>0</v>
      </c>
    </row>
    <row r="557" spans="1:15" ht="15.75" customHeight="1" x14ac:dyDescent="0.3">
      <c r="A557" s="1">
        <v>75</v>
      </c>
      <c r="B557" s="2">
        <v>45577</v>
      </c>
      <c r="C557" s="1" t="s">
        <v>13</v>
      </c>
      <c r="D557" s="1" t="s">
        <v>27</v>
      </c>
      <c r="E557" s="1">
        <v>13</v>
      </c>
      <c r="F557" s="1">
        <v>4000</v>
      </c>
      <c r="G557" s="1">
        <v>52000</v>
      </c>
      <c r="H557" s="1">
        <v>11741</v>
      </c>
      <c r="I557" s="1" t="s">
        <v>16</v>
      </c>
      <c r="J557" s="1">
        <v>3</v>
      </c>
      <c r="K557" s="1" t="s">
        <v>15</v>
      </c>
      <c r="L557" s="1">
        <v>6</v>
      </c>
      <c r="M557" s="1" t="s">
        <v>20</v>
      </c>
      <c r="N557" s="5">
        <f>IF(Tabulka1[[#This Row],[E-shop]]="ano",1,0)</f>
        <v>1</v>
      </c>
      <c r="O557" s="5">
        <f>IF(Tabulka1[[#This Row],[Reklamace]]="ano",1,0)</f>
        <v>0</v>
      </c>
    </row>
    <row r="558" spans="1:15" ht="15.75" customHeight="1" x14ac:dyDescent="0.3">
      <c r="A558" s="1">
        <v>320</v>
      </c>
      <c r="B558" s="2">
        <v>45339</v>
      </c>
      <c r="C558" s="1" t="s">
        <v>18</v>
      </c>
      <c r="D558" s="1" t="s">
        <v>27</v>
      </c>
      <c r="E558" s="1">
        <v>13</v>
      </c>
      <c r="F558" s="1">
        <v>4000</v>
      </c>
      <c r="G558" s="1">
        <v>52000</v>
      </c>
      <c r="H558" s="1">
        <v>12842</v>
      </c>
      <c r="I558" s="1" t="s">
        <v>16</v>
      </c>
      <c r="J558" s="1">
        <v>4</v>
      </c>
      <c r="K558" s="1" t="s">
        <v>15</v>
      </c>
      <c r="L558" s="1">
        <v>6</v>
      </c>
      <c r="M558" s="1" t="s">
        <v>20</v>
      </c>
      <c r="N558" s="5">
        <f>IF(Tabulka1[[#This Row],[E-shop]]="ano",1,0)</f>
        <v>1</v>
      </c>
      <c r="O558" s="5">
        <f>IF(Tabulka1[[#This Row],[Reklamace]]="ano",1,0)</f>
        <v>0</v>
      </c>
    </row>
    <row r="559" spans="1:15" ht="15.75" customHeight="1" x14ac:dyDescent="0.3">
      <c r="A559" s="1">
        <v>413</v>
      </c>
      <c r="B559" s="2">
        <v>45519</v>
      </c>
      <c r="C559" s="1" t="s">
        <v>13</v>
      </c>
      <c r="D559" s="1" t="s">
        <v>27</v>
      </c>
      <c r="E559" s="1">
        <v>13</v>
      </c>
      <c r="F559" s="1">
        <v>4000</v>
      </c>
      <c r="G559" s="1">
        <v>52000</v>
      </c>
      <c r="H559" s="1">
        <v>12036</v>
      </c>
      <c r="I559" s="1" t="s">
        <v>15</v>
      </c>
      <c r="J559" s="1">
        <v>6</v>
      </c>
      <c r="K559" s="1" t="s">
        <v>15</v>
      </c>
      <c r="L559" s="1">
        <v>5</v>
      </c>
      <c r="M559" s="1" t="s">
        <v>20</v>
      </c>
      <c r="N559" s="5">
        <f>IF(Tabulka1[[#This Row],[E-shop]]="ano",1,0)</f>
        <v>0</v>
      </c>
      <c r="O559" s="5">
        <f>IF(Tabulka1[[#This Row],[Reklamace]]="ano",1,0)</f>
        <v>0</v>
      </c>
    </row>
    <row r="560" spans="1:15" ht="15.75" customHeight="1" x14ac:dyDescent="0.3">
      <c r="A560" s="1">
        <v>34</v>
      </c>
      <c r="B560" s="2">
        <v>45849</v>
      </c>
      <c r="C560" s="1" t="s">
        <v>18</v>
      </c>
      <c r="D560" s="1" t="s">
        <v>41</v>
      </c>
      <c r="E560" s="1">
        <v>10</v>
      </c>
      <c r="F560" s="1">
        <v>5000</v>
      </c>
      <c r="G560" s="1">
        <v>50000</v>
      </c>
      <c r="H560" s="1">
        <v>10537</v>
      </c>
      <c r="I560" s="1" t="s">
        <v>16</v>
      </c>
      <c r="J560" s="1">
        <v>4</v>
      </c>
      <c r="K560" s="1" t="s">
        <v>15</v>
      </c>
      <c r="L560" s="1">
        <v>7</v>
      </c>
      <c r="M560" s="1" t="s">
        <v>20</v>
      </c>
      <c r="N560" s="5">
        <f>IF(Tabulka1[[#This Row],[E-shop]]="ano",1,0)</f>
        <v>1</v>
      </c>
      <c r="O560" s="5">
        <f>IF(Tabulka1[[#This Row],[Reklamace]]="ano",1,0)</f>
        <v>0</v>
      </c>
    </row>
    <row r="561" spans="1:15" ht="15.75" customHeight="1" x14ac:dyDescent="0.3">
      <c r="A561" s="1">
        <v>130</v>
      </c>
      <c r="B561" s="2">
        <v>45784</v>
      </c>
      <c r="C561" s="1" t="s">
        <v>25</v>
      </c>
      <c r="D561" s="1" t="s">
        <v>32</v>
      </c>
      <c r="E561" s="1">
        <v>5</v>
      </c>
      <c r="F561" s="1">
        <v>10000</v>
      </c>
      <c r="G561" s="1">
        <v>50000</v>
      </c>
      <c r="H561" s="1">
        <v>13201</v>
      </c>
      <c r="I561" s="1" t="s">
        <v>15</v>
      </c>
      <c r="J561" s="1">
        <v>8</v>
      </c>
      <c r="K561" s="1" t="s">
        <v>15</v>
      </c>
      <c r="L561" s="1">
        <v>1</v>
      </c>
      <c r="M561" s="1" t="s">
        <v>17</v>
      </c>
      <c r="N561" s="5">
        <f>IF(Tabulka1[[#This Row],[E-shop]]="ano",1,0)</f>
        <v>0</v>
      </c>
      <c r="O561" s="5">
        <f>IF(Tabulka1[[#This Row],[Reklamace]]="ano",1,0)</f>
        <v>0</v>
      </c>
    </row>
    <row r="562" spans="1:15" ht="15.75" customHeight="1" x14ac:dyDescent="0.3">
      <c r="A562" s="1">
        <v>183</v>
      </c>
      <c r="B562" s="2">
        <v>45292</v>
      </c>
      <c r="C562" s="1" t="s">
        <v>36</v>
      </c>
      <c r="D562" s="1" t="s">
        <v>44</v>
      </c>
      <c r="E562" s="1">
        <v>5</v>
      </c>
      <c r="F562" s="1">
        <v>10000</v>
      </c>
      <c r="G562" s="1">
        <v>50000</v>
      </c>
      <c r="H562" s="1">
        <v>12907</v>
      </c>
      <c r="I562" s="1" t="s">
        <v>15</v>
      </c>
      <c r="J562" s="1">
        <v>5</v>
      </c>
      <c r="K562" s="1" t="s">
        <v>16</v>
      </c>
      <c r="L562" s="1">
        <v>4</v>
      </c>
      <c r="M562" s="1" t="s">
        <v>17</v>
      </c>
      <c r="N562" s="5">
        <f>IF(Tabulka1[[#This Row],[E-shop]]="ano",1,0)</f>
        <v>0</v>
      </c>
      <c r="O562" s="5">
        <f>IF(Tabulka1[[#This Row],[Reklamace]]="ano",1,0)</f>
        <v>1</v>
      </c>
    </row>
    <row r="563" spans="1:15" ht="15.75" customHeight="1" x14ac:dyDescent="0.3">
      <c r="A563" s="1">
        <v>327</v>
      </c>
      <c r="B563" s="2">
        <v>45876</v>
      </c>
      <c r="C563" s="1" t="s">
        <v>31</v>
      </c>
      <c r="D563" s="1" t="s">
        <v>47</v>
      </c>
      <c r="E563" s="1">
        <v>2</v>
      </c>
      <c r="F563" s="1">
        <v>25000</v>
      </c>
      <c r="G563" s="1">
        <v>50000</v>
      </c>
      <c r="H563" s="1">
        <v>9103</v>
      </c>
      <c r="I563" s="1" t="s">
        <v>15</v>
      </c>
      <c r="J563" s="1">
        <v>5</v>
      </c>
      <c r="K563" s="1" t="s">
        <v>15</v>
      </c>
      <c r="L563" s="1">
        <v>6</v>
      </c>
      <c r="M563" s="1" t="s">
        <v>20</v>
      </c>
      <c r="N563" s="5">
        <f>IF(Tabulka1[[#This Row],[E-shop]]="ano",1,0)</f>
        <v>0</v>
      </c>
      <c r="O563" s="5">
        <f>IF(Tabulka1[[#This Row],[Reklamace]]="ano",1,0)</f>
        <v>0</v>
      </c>
    </row>
    <row r="564" spans="1:15" ht="15.75" customHeight="1" x14ac:dyDescent="0.3">
      <c r="A564" s="1">
        <v>485</v>
      </c>
      <c r="B564" s="2">
        <v>46000</v>
      </c>
      <c r="C564" s="1" t="s">
        <v>25</v>
      </c>
      <c r="D564" s="1" t="s">
        <v>32</v>
      </c>
      <c r="E564" s="1">
        <v>5</v>
      </c>
      <c r="F564" s="1">
        <v>10000</v>
      </c>
      <c r="G564" s="1">
        <v>50000</v>
      </c>
      <c r="H564" s="1">
        <v>11285</v>
      </c>
      <c r="I564" s="1" t="s">
        <v>16</v>
      </c>
      <c r="J564" s="1">
        <v>2</v>
      </c>
      <c r="K564" s="1" t="s">
        <v>15</v>
      </c>
      <c r="L564" s="1">
        <v>6</v>
      </c>
      <c r="M564" s="1" t="s">
        <v>17</v>
      </c>
      <c r="N564" s="5">
        <f>IF(Tabulka1[[#This Row],[E-shop]]="ano",1,0)</f>
        <v>1</v>
      </c>
      <c r="O564" s="5">
        <f>IF(Tabulka1[[#This Row],[Reklamace]]="ano",1,0)</f>
        <v>0</v>
      </c>
    </row>
    <row r="565" spans="1:15" ht="15.75" customHeight="1" x14ac:dyDescent="0.3">
      <c r="A565" s="1">
        <v>493</v>
      </c>
      <c r="B565" s="2">
        <v>45377</v>
      </c>
      <c r="C565" s="1" t="s">
        <v>18</v>
      </c>
      <c r="D565" s="1" t="s">
        <v>47</v>
      </c>
      <c r="E565" s="1">
        <v>2</v>
      </c>
      <c r="F565" s="1">
        <v>25000</v>
      </c>
      <c r="G565" s="1">
        <v>50000</v>
      </c>
      <c r="H565" s="1">
        <v>8460</v>
      </c>
      <c r="I565" s="1" t="s">
        <v>16</v>
      </c>
      <c r="J565" s="1">
        <v>2</v>
      </c>
      <c r="K565" s="1" t="s">
        <v>15</v>
      </c>
      <c r="L565" s="1">
        <v>7</v>
      </c>
      <c r="M565" s="1" t="s">
        <v>17</v>
      </c>
      <c r="N565" s="5">
        <f>IF(Tabulka1[[#This Row],[E-shop]]="ano",1,0)</f>
        <v>1</v>
      </c>
      <c r="O565" s="5">
        <f>IF(Tabulka1[[#This Row],[Reklamace]]="ano",1,0)</f>
        <v>0</v>
      </c>
    </row>
    <row r="566" spans="1:15" ht="15.75" customHeight="1" x14ac:dyDescent="0.3">
      <c r="A566" s="1">
        <v>691</v>
      </c>
      <c r="B566" s="2">
        <v>45449</v>
      </c>
      <c r="C566" s="1" t="s">
        <v>18</v>
      </c>
      <c r="D566" s="1" t="s">
        <v>41</v>
      </c>
      <c r="E566" s="1">
        <v>10</v>
      </c>
      <c r="F566" s="1">
        <v>5000</v>
      </c>
      <c r="G566" s="1">
        <v>50000</v>
      </c>
      <c r="H566" s="1">
        <v>11015</v>
      </c>
      <c r="I566" s="1" t="s">
        <v>16</v>
      </c>
      <c r="J566" s="1">
        <v>4</v>
      </c>
      <c r="K566" s="1" t="s">
        <v>15</v>
      </c>
      <c r="L566" s="1">
        <v>4</v>
      </c>
      <c r="M566" s="1" t="s">
        <v>17</v>
      </c>
      <c r="N566" s="5">
        <f>IF(Tabulka1[[#This Row],[E-shop]]="ano",1,0)</f>
        <v>1</v>
      </c>
      <c r="O566" s="5">
        <f>IF(Tabulka1[[#This Row],[Reklamace]]="ano",1,0)</f>
        <v>0</v>
      </c>
    </row>
    <row r="567" spans="1:15" ht="15.75" customHeight="1" x14ac:dyDescent="0.3">
      <c r="A567" s="1">
        <v>696</v>
      </c>
      <c r="B567" s="2">
        <v>45970</v>
      </c>
      <c r="C567" s="1" t="s">
        <v>31</v>
      </c>
      <c r="D567" s="1" t="s">
        <v>41</v>
      </c>
      <c r="E567" s="1">
        <v>10</v>
      </c>
      <c r="F567" s="1">
        <v>5000</v>
      </c>
      <c r="G567" s="1">
        <v>50000</v>
      </c>
      <c r="H567" s="1">
        <v>10061</v>
      </c>
      <c r="I567" s="1" t="s">
        <v>15</v>
      </c>
      <c r="J567" s="1">
        <v>4</v>
      </c>
      <c r="K567" s="1" t="s">
        <v>15</v>
      </c>
      <c r="L567" s="1">
        <v>5</v>
      </c>
      <c r="M567" s="1" t="s">
        <v>20</v>
      </c>
      <c r="N567" s="5">
        <f>IF(Tabulka1[[#This Row],[E-shop]]="ano",1,0)</f>
        <v>0</v>
      </c>
      <c r="O567" s="5">
        <f>IF(Tabulka1[[#This Row],[Reklamace]]="ano",1,0)</f>
        <v>0</v>
      </c>
    </row>
    <row r="568" spans="1:15" ht="15.75" customHeight="1" x14ac:dyDescent="0.3">
      <c r="A568" s="1">
        <v>729</v>
      </c>
      <c r="B568" s="2">
        <v>46021</v>
      </c>
      <c r="C568" s="1" t="s">
        <v>31</v>
      </c>
      <c r="D568" s="1" t="s">
        <v>47</v>
      </c>
      <c r="E568" s="1">
        <v>2</v>
      </c>
      <c r="F568" s="1">
        <v>25000</v>
      </c>
      <c r="G568" s="1">
        <v>50000</v>
      </c>
      <c r="H568" s="1">
        <v>9645</v>
      </c>
      <c r="I568" s="1" t="s">
        <v>15</v>
      </c>
      <c r="J568" s="1">
        <v>4</v>
      </c>
      <c r="K568" s="1" t="s">
        <v>15</v>
      </c>
      <c r="L568" s="1">
        <v>6</v>
      </c>
      <c r="M568" s="1" t="s">
        <v>20</v>
      </c>
      <c r="N568" s="5">
        <f>IF(Tabulka1[[#This Row],[E-shop]]="ano",1,0)</f>
        <v>0</v>
      </c>
      <c r="O568" s="5">
        <f>IF(Tabulka1[[#This Row],[Reklamace]]="ano",1,0)</f>
        <v>0</v>
      </c>
    </row>
    <row r="569" spans="1:15" ht="15.75" customHeight="1" x14ac:dyDescent="0.3">
      <c r="A569" s="1">
        <v>946</v>
      </c>
      <c r="B569" s="2">
        <v>45904</v>
      </c>
      <c r="C569" s="1" t="s">
        <v>21</v>
      </c>
      <c r="D569" s="1" t="s">
        <v>47</v>
      </c>
      <c r="E569" s="1">
        <v>2</v>
      </c>
      <c r="F569" s="1">
        <v>25000</v>
      </c>
      <c r="G569" s="1">
        <v>50000</v>
      </c>
      <c r="H569" s="1">
        <v>10116</v>
      </c>
      <c r="I569" s="1" t="s">
        <v>15</v>
      </c>
      <c r="J569" s="1">
        <v>4</v>
      </c>
      <c r="K569" s="1" t="s">
        <v>15</v>
      </c>
      <c r="L569" s="1">
        <v>7</v>
      </c>
      <c r="M569" s="1" t="s">
        <v>20</v>
      </c>
      <c r="N569" s="5">
        <f>IF(Tabulka1[[#This Row],[E-shop]]="ano",1,0)</f>
        <v>0</v>
      </c>
      <c r="O569" s="5">
        <f>IF(Tabulka1[[#This Row],[Reklamace]]="ano",1,0)</f>
        <v>0</v>
      </c>
    </row>
    <row r="570" spans="1:15" ht="15.75" customHeight="1" x14ac:dyDescent="0.3">
      <c r="A570" s="1">
        <v>245</v>
      </c>
      <c r="B570" s="2">
        <v>45459</v>
      </c>
      <c r="C570" s="1" t="s">
        <v>23</v>
      </c>
      <c r="D570" s="1" t="s">
        <v>45</v>
      </c>
      <c r="E570" s="1">
        <v>14</v>
      </c>
      <c r="F570" s="1">
        <v>3500</v>
      </c>
      <c r="G570" s="1">
        <v>49000</v>
      </c>
      <c r="H570" s="1">
        <v>8454</v>
      </c>
      <c r="I570" s="1" t="s">
        <v>16</v>
      </c>
      <c r="J570" s="1">
        <v>4</v>
      </c>
      <c r="K570" s="1" t="s">
        <v>15</v>
      </c>
      <c r="L570" s="1">
        <v>5</v>
      </c>
      <c r="M570" s="1" t="s">
        <v>20</v>
      </c>
      <c r="N570" s="5">
        <f>IF(Tabulka1[[#This Row],[E-shop]]="ano",1,0)</f>
        <v>1</v>
      </c>
      <c r="O570" s="5">
        <f>IF(Tabulka1[[#This Row],[Reklamace]]="ano",1,0)</f>
        <v>0</v>
      </c>
    </row>
    <row r="571" spans="1:15" ht="15.75" customHeight="1" x14ac:dyDescent="0.3">
      <c r="A571" s="1">
        <v>368</v>
      </c>
      <c r="B571" s="2">
        <v>45372</v>
      </c>
      <c r="C571" s="1" t="s">
        <v>25</v>
      </c>
      <c r="D571" s="1" t="s">
        <v>37</v>
      </c>
      <c r="E571" s="1">
        <v>7</v>
      </c>
      <c r="F571" s="1">
        <v>7000</v>
      </c>
      <c r="G571" s="1">
        <v>49000</v>
      </c>
      <c r="H571" s="1">
        <v>7369</v>
      </c>
      <c r="I571" s="1" t="s">
        <v>15</v>
      </c>
      <c r="J571" s="1">
        <v>5</v>
      </c>
      <c r="K571" s="1" t="s">
        <v>16</v>
      </c>
      <c r="L571" s="1">
        <v>4</v>
      </c>
      <c r="M571" s="1" t="s">
        <v>20</v>
      </c>
      <c r="N571" s="5">
        <f>IF(Tabulka1[[#This Row],[E-shop]]="ano",1,0)</f>
        <v>0</v>
      </c>
      <c r="O571" s="5">
        <f>IF(Tabulka1[[#This Row],[Reklamace]]="ano",1,0)</f>
        <v>1</v>
      </c>
    </row>
    <row r="572" spans="1:15" ht="15.75" customHeight="1" x14ac:dyDescent="0.3">
      <c r="A572" s="1">
        <v>405</v>
      </c>
      <c r="B572" s="2">
        <v>45649</v>
      </c>
      <c r="C572" s="1" t="s">
        <v>13</v>
      </c>
      <c r="D572" s="1" t="s">
        <v>37</v>
      </c>
      <c r="E572" s="1">
        <v>7</v>
      </c>
      <c r="F572" s="1">
        <v>7000</v>
      </c>
      <c r="G572" s="1">
        <v>49000</v>
      </c>
      <c r="H572" s="1">
        <v>10027</v>
      </c>
      <c r="I572" s="1" t="s">
        <v>15</v>
      </c>
      <c r="J572" s="1">
        <v>4</v>
      </c>
      <c r="K572" s="1" t="s">
        <v>16</v>
      </c>
      <c r="L572" s="1">
        <v>4</v>
      </c>
      <c r="M572" s="1" t="s">
        <v>20</v>
      </c>
      <c r="N572" s="5">
        <f>IF(Tabulka1[[#This Row],[E-shop]]="ano",1,0)</f>
        <v>0</v>
      </c>
      <c r="O572" s="5">
        <f>IF(Tabulka1[[#This Row],[Reklamace]]="ano",1,0)</f>
        <v>1</v>
      </c>
    </row>
    <row r="573" spans="1:15" ht="15.75" customHeight="1" x14ac:dyDescent="0.3">
      <c r="A573" s="1">
        <v>415</v>
      </c>
      <c r="B573" s="2">
        <v>45792</v>
      </c>
      <c r="C573" s="1" t="s">
        <v>25</v>
      </c>
      <c r="D573" s="1" t="s">
        <v>37</v>
      </c>
      <c r="E573" s="1">
        <v>7</v>
      </c>
      <c r="F573" s="1">
        <v>7000</v>
      </c>
      <c r="G573" s="1">
        <v>49000</v>
      </c>
      <c r="H573" s="1">
        <v>8351</v>
      </c>
      <c r="I573" s="1" t="s">
        <v>15</v>
      </c>
      <c r="J573" s="1">
        <v>4</v>
      </c>
      <c r="K573" s="1" t="s">
        <v>15</v>
      </c>
      <c r="L573" s="1">
        <v>4</v>
      </c>
      <c r="M573" s="1" t="s">
        <v>17</v>
      </c>
      <c r="N573" s="5">
        <f>IF(Tabulka1[[#This Row],[E-shop]]="ano",1,0)</f>
        <v>0</v>
      </c>
      <c r="O573" s="5">
        <f>IF(Tabulka1[[#This Row],[Reklamace]]="ano",1,0)</f>
        <v>0</v>
      </c>
    </row>
    <row r="574" spans="1:15" ht="15.75" customHeight="1" x14ac:dyDescent="0.3">
      <c r="A574" s="1">
        <v>444</v>
      </c>
      <c r="B574" s="2">
        <v>45991</v>
      </c>
      <c r="C574" s="1" t="s">
        <v>36</v>
      </c>
      <c r="D574" s="1" t="s">
        <v>45</v>
      </c>
      <c r="E574" s="1">
        <v>14</v>
      </c>
      <c r="F574" s="1">
        <v>3500</v>
      </c>
      <c r="G574" s="1">
        <v>49000</v>
      </c>
      <c r="H574" s="1">
        <v>7732</v>
      </c>
      <c r="I574" s="1" t="s">
        <v>15</v>
      </c>
      <c r="J574" s="1">
        <v>9</v>
      </c>
      <c r="K574" s="1" t="s">
        <v>15</v>
      </c>
      <c r="L574" s="1">
        <v>1</v>
      </c>
      <c r="M574" s="1" t="s">
        <v>20</v>
      </c>
      <c r="N574" s="5">
        <f>IF(Tabulka1[[#This Row],[E-shop]]="ano",1,0)</f>
        <v>0</v>
      </c>
      <c r="O574" s="5">
        <f>IF(Tabulka1[[#This Row],[Reklamace]]="ano",1,0)</f>
        <v>0</v>
      </c>
    </row>
    <row r="575" spans="1:15" ht="15.75" customHeight="1" x14ac:dyDescent="0.3">
      <c r="A575" s="1">
        <v>666</v>
      </c>
      <c r="B575" s="2">
        <v>45736</v>
      </c>
      <c r="C575" s="1" t="s">
        <v>23</v>
      </c>
      <c r="D575" s="1" t="s">
        <v>37</v>
      </c>
      <c r="E575" s="1">
        <v>7</v>
      </c>
      <c r="F575" s="1">
        <v>7000</v>
      </c>
      <c r="G575" s="1">
        <v>49000</v>
      </c>
      <c r="H575" s="1">
        <v>8796</v>
      </c>
      <c r="I575" s="1" t="s">
        <v>16</v>
      </c>
      <c r="J575" s="1">
        <v>6</v>
      </c>
      <c r="K575" s="1" t="s">
        <v>16</v>
      </c>
      <c r="L575" s="1">
        <v>4</v>
      </c>
      <c r="M575" s="1" t="s">
        <v>20</v>
      </c>
      <c r="N575" s="5">
        <f>IF(Tabulka1[[#This Row],[E-shop]]="ano",1,0)</f>
        <v>1</v>
      </c>
      <c r="O575" s="5">
        <f>IF(Tabulka1[[#This Row],[Reklamace]]="ano",1,0)</f>
        <v>1</v>
      </c>
    </row>
    <row r="576" spans="1:15" ht="15.75" customHeight="1" x14ac:dyDescent="0.3">
      <c r="A576" s="1">
        <v>991</v>
      </c>
      <c r="B576" s="2">
        <v>45619</v>
      </c>
      <c r="C576" s="1" t="s">
        <v>21</v>
      </c>
      <c r="D576" s="1" t="s">
        <v>24</v>
      </c>
      <c r="E576" s="1">
        <v>7</v>
      </c>
      <c r="F576" s="1">
        <v>7000</v>
      </c>
      <c r="G576" s="1">
        <v>49000</v>
      </c>
      <c r="H576" s="1">
        <v>12664</v>
      </c>
      <c r="I576" s="1" t="s">
        <v>16</v>
      </c>
      <c r="J576" s="1">
        <v>7</v>
      </c>
      <c r="K576" s="1" t="s">
        <v>16</v>
      </c>
      <c r="L576" s="1">
        <v>2</v>
      </c>
      <c r="M576" s="1" t="s">
        <v>20</v>
      </c>
      <c r="N576" s="5">
        <f>IF(Tabulka1[[#This Row],[E-shop]]="ano",1,0)</f>
        <v>1</v>
      </c>
      <c r="O576" s="5">
        <f>IF(Tabulka1[[#This Row],[Reklamace]]="ano",1,0)</f>
        <v>1</v>
      </c>
    </row>
    <row r="577" spans="1:15" ht="15.75" customHeight="1" x14ac:dyDescent="0.3">
      <c r="A577" s="1">
        <v>7</v>
      </c>
      <c r="B577" s="2">
        <v>45739</v>
      </c>
      <c r="C577" s="1" t="s">
        <v>18</v>
      </c>
      <c r="D577" s="1" t="s">
        <v>27</v>
      </c>
      <c r="E577" s="1">
        <v>12</v>
      </c>
      <c r="F577" s="1">
        <v>4000</v>
      </c>
      <c r="G577" s="1">
        <v>48000</v>
      </c>
      <c r="H577" s="1">
        <v>12423</v>
      </c>
      <c r="I577" s="1" t="s">
        <v>15</v>
      </c>
      <c r="J577" s="1">
        <v>5</v>
      </c>
      <c r="K577" s="1" t="s">
        <v>15</v>
      </c>
      <c r="L577" s="1">
        <v>6</v>
      </c>
      <c r="M577" s="1" t="s">
        <v>20</v>
      </c>
      <c r="N577" s="5">
        <f>IF(Tabulka1[[#This Row],[E-shop]]="ano",1,0)</f>
        <v>0</v>
      </c>
      <c r="O577" s="5">
        <f>IF(Tabulka1[[#This Row],[Reklamace]]="ano",1,0)</f>
        <v>0</v>
      </c>
    </row>
    <row r="578" spans="1:15" ht="15.75" customHeight="1" x14ac:dyDescent="0.3">
      <c r="A578" s="1">
        <v>40</v>
      </c>
      <c r="B578" s="2">
        <v>45556</v>
      </c>
      <c r="C578" s="1" t="s">
        <v>21</v>
      </c>
      <c r="D578" s="1" t="s">
        <v>35</v>
      </c>
      <c r="E578" s="1">
        <v>4</v>
      </c>
      <c r="F578" s="1">
        <v>12000</v>
      </c>
      <c r="G578" s="1">
        <v>48000</v>
      </c>
      <c r="H578" s="1">
        <v>13943</v>
      </c>
      <c r="I578" s="1" t="s">
        <v>16</v>
      </c>
      <c r="J578" s="1">
        <v>2</v>
      </c>
      <c r="K578" s="1" t="s">
        <v>15</v>
      </c>
      <c r="L578" s="1">
        <v>6</v>
      </c>
      <c r="M578" s="1" t="s">
        <v>20</v>
      </c>
      <c r="N578" s="5">
        <f>IF(Tabulka1[[#This Row],[E-shop]]="ano",1,0)</f>
        <v>1</v>
      </c>
      <c r="O578" s="5">
        <f>IF(Tabulka1[[#This Row],[Reklamace]]="ano",1,0)</f>
        <v>0</v>
      </c>
    </row>
    <row r="579" spans="1:15" ht="15.75" customHeight="1" x14ac:dyDescent="0.3">
      <c r="A579" s="1">
        <v>146</v>
      </c>
      <c r="B579" s="2">
        <v>45737</v>
      </c>
      <c r="C579" s="1" t="s">
        <v>25</v>
      </c>
      <c r="D579" s="1" t="s">
        <v>33</v>
      </c>
      <c r="E579" s="1">
        <v>8</v>
      </c>
      <c r="F579" s="1">
        <v>6000</v>
      </c>
      <c r="G579" s="1">
        <v>48000</v>
      </c>
      <c r="H579" s="1">
        <v>11965</v>
      </c>
      <c r="I579" s="1" t="s">
        <v>15</v>
      </c>
      <c r="J579" s="1">
        <v>2</v>
      </c>
      <c r="K579" s="1" t="s">
        <v>15</v>
      </c>
      <c r="L579" s="1">
        <v>9</v>
      </c>
      <c r="M579" s="1" t="s">
        <v>20</v>
      </c>
      <c r="N579" s="5">
        <f>IF(Tabulka1[[#This Row],[E-shop]]="ano",1,0)</f>
        <v>0</v>
      </c>
      <c r="O579" s="5">
        <f>IF(Tabulka1[[#This Row],[Reklamace]]="ano",1,0)</f>
        <v>0</v>
      </c>
    </row>
    <row r="580" spans="1:15" ht="15.75" customHeight="1" x14ac:dyDescent="0.3">
      <c r="A580" s="1">
        <v>153</v>
      </c>
      <c r="B580" s="2">
        <v>45888</v>
      </c>
      <c r="C580" s="1" t="s">
        <v>36</v>
      </c>
      <c r="D580" s="1" t="s">
        <v>14</v>
      </c>
      <c r="E580" s="1">
        <v>4</v>
      </c>
      <c r="F580" s="1">
        <v>12000</v>
      </c>
      <c r="G580" s="1">
        <v>48000</v>
      </c>
      <c r="H580" s="1">
        <v>11251</v>
      </c>
      <c r="I580" s="1" t="s">
        <v>16</v>
      </c>
      <c r="J580" s="1">
        <v>5</v>
      </c>
      <c r="K580" s="1" t="s">
        <v>15</v>
      </c>
      <c r="L580" s="1">
        <v>5</v>
      </c>
      <c r="M580" s="1" t="s">
        <v>20</v>
      </c>
      <c r="N580" s="5">
        <f>IF(Tabulka1[[#This Row],[E-shop]]="ano",1,0)</f>
        <v>1</v>
      </c>
      <c r="O580" s="5">
        <f>IF(Tabulka1[[#This Row],[Reklamace]]="ano",1,0)</f>
        <v>0</v>
      </c>
    </row>
    <row r="581" spans="1:15" ht="15.75" customHeight="1" x14ac:dyDescent="0.3">
      <c r="A581" s="1">
        <v>319</v>
      </c>
      <c r="B581" s="2">
        <v>45379</v>
      </c>
      <c r="C581" s="1" t="s">
        <v>13</v>
      </c>
      <c r="D581" s="1" t="s">
        <v>30</v>
      </c>
      <c r="E581" s="1">
        <v>6</v>
      </c>
      <c r="F581" s="1">
        <v>8000</v>
      </c>
      <c r="G581" s="1">
        <v>48000</v>
      </c>
      <c r="H581" s="1">
        <v>13159</v>
      </c>
      <c r="I581" s="1" t="s">
        <v>15</v>
      </c>
      <c r="J581" s="1">
        <v>7</v>
      </c>
      <c r="K581" s="1" t="s">
        <v>16</v>
      </c>
      <c r="L581" s="1">
        <v>3</v>
      </c>
      <c r="M581" s="1" t="s">
        <v>20</v>
      </c>
      <c r="N581" s="5">
        <f>IF(Tabulka1[[#This Row],[E-shop]]="ano",1,0)</f>
        <v>0</v>
      </c>
      <c r="O581" s="5">
        <f>IF(Tabulka1[[#This Row],[Reklamace]]="ano",1,0)</f>
        <v>1</v>
      </c>
    </row>
    <row r="582" spans="1:15" ht="15.75" customHeight="1" x14ac:dyDescent="0.3">
      <c r="A582" s="1">
        <v>607</v>
      </c>
      <c r="B582" s="2">
        <v>45506</v>
      </c>
      <c r="C582" s="1" t="s">
        <v>36</v>
      </c>
      <c r="D582" s="1" t="s">
        <v>35</v>
      </c>
      <c r="E582" s="1">
        <v>4</v>
      </c>
      <c r="F582" s="1">
        <v>12000</v>
      </c>
      <c r="G582" s="1">
        <v>48000</v>
      </c>
      <c r="H582" s="1">
        <v>9076</v>
      </c>
      <c r="I582" s="1" t="s">
        <v>15</v>
      </c>
      <c r="J582" s="1">
        <v>5</v>
      </c>
      <c r="K582" s="1" t="s">
        <v>15</v>
      </c>
      <c r="L582" s="1">
        <v>6</v>
      </c>
      <c r="M582" s="1" t="s">
        <v>20</v>
      </c>
      <c r="N582" s="5">
        <f>IF(Tabulka1[[#This Row],[E-shop]]="ano",1,0)</f>
        <v>0</v>
      </c>
      <c r="O582" s="5">
        <f>IF(Tabulka1[[#This Row],[Reklamace]]="ano",1,0)</f>
        <v>0</v>
      </c>
    </row>
    <row r="583" spans="1:15" ht="15.75" customHeight="1" x14ac:dyDescent="0.3">
      <c r="A583" s="1">
        <v>614</v>
      </c>
      <c r="B583" s="2">
        <v>45737</v>
      </c>
      <c r="C583" s="1" t="s">
        <v>31</v>
      </c>
      <c r="D583" s="1" t="s">
        <v>30</v>
      </c>
      <c r="E583" s="1">
        <v>6</v>
      </c>
      <c r="F583" s="1">
        <v>8000</v>
      </c>
      <c r="G583" s="1">
        <v>48000</v>
      </c>
      <c r="H583" s="1">
        <v>8593</v>
      </c>
      <c r="I583" s="1" t="s">
        <v>16</v>
      </c>
      <c r="J583" s="1">
        <v>7</v>
      </c>
      <c r="K583" s="1" t="s">
        <v>15</v>
      </c>
      <c r="L583" s="1">
        <v>3</v>
      </c>
      <c r="M583" s="1" t="s">
        <v>20</v>
      </c>
      <c r="N583" s="5">
        <f>IF(Tabulka1[[#This Row],[E-shop]]="ano",1,0)</f>
        <v>1</v>
      </c>
      <c r="O583" s="5">
        <f>IF(Tabulka1[[#This Row],[Reklamace]]="ano",1,0)</f>
        <v>0</v>
      </c>
    </row>
    <row r="584" spans="1:15" ht="15.75" customHeight="1" x14ac:dyDescent="0.3">
      <c r="A584" s="1">
        <v>647</v>
      </c>
      <c r="B584" s="2">
        <v>45318</v>
      </c>
      <c r="C584" s="1" t="s">
        <v>23</v>
      </c>
      <c r="D584" s="1" t="s">
        <v>26</v>
      </c>
      <c r="E584" s="1">
        <v>4</v>
      </c>
      <c r="F584" s="1">
        <v>12000</v>
      </c>
      <c r="G584" s="1">
        <v>48000</v>
      </c>
      <c r="H584" s="1">
        <v>7478</v>
      </c>
      <c r="I584" s="1" t="s">
        <v>15</v>
      </c>
      <c r="J584" s="1">
        <v>1</v>
      </c>
      <c r="K584" s="1" t="s">
        <v>15</v>
      </c>
      <c r="L584" s="1">
        <v>9</v>
      </c>
      <c r="M584" s="1" t="s">
        <v>20</v>
      </c>
      <c r="N584" s="5">
        <f>IF(Tabulka1[[#This Row],[E-shop]]="ano",1,0)</f>
        <v>0</v>
      </c>
      <c r="O584" s="5">
        <f>IF(Tabulka1[[#This Row],[Reklamace]]="ano",1,0)</f>
        <v>0</v>
      </c>
    </row>
    <row r="585" spans="1:15" ht="15.75" customHeight="1" x14ac:dyDescent="0.3">
      <c r="A585" s="1">
        <v>721</v>
      </c>
      <c r="B585" s="2">
        <v>45925</v>
      </c>
      <c r="C585" s="1" t="s">
        <v>23</v>
      </c>
      <c r="D585" s="1" t="s">
        <v>26</v>
      </c>
      <c r="E585" s="1">
        <v>4</v>
      </c>
      <c r="F585" s="1">
        <v>12000</v>
      </c>
      <c r="G585" s="1">
        <v>48000</v>
      </c>
      <c r="H585" s="1">
        <v>9487</v>
      </c>
      <c r="I585" s="1" t="s">
        <v>15</v>
      </c>
      <c r="J585" s="1">
        <v>1</v>
      </c>
      <c r="K585" s="1" t="s">
        <v>15</v>
      </c>
      <c r="L585" s="1">
        <v>10</v>
      </c>
      <c r="M585" s="1" t="s">
        <v>20</v>
      </c>
      <c r="N585" s="5">
        <f>IF(Tabulka1[[#This Row],[E-shop]]="ano",1,0)</f>
        <v>0</v>
      </c>
      <c r="O585" s="5">
        <f>IF(Tabulka1[[#This Row],[Reklamace]]="ano",1,0)</f>
        <v>0</v>
      </c>
    </row>
    <row r="586" spans="1:15" ht="15.75" customHeight="1" x14ac:dyDescent="0.3">
      <c r="A586" s="1">
        <v>723</v>
      </c>
      <c r="B586" s="2">
        <v>45792</v>
      </c>
      <c r="C586" s="1" t="s">
        <v>13</v>
      </c>
      <c r="D586" s="1" t="s">
        <v>35</v>
      </c>
      <c r="E586" s="1">
        <v>4</v>
      </c>
      <c r="F586" s="1">
        <v>12000</v>
      </c>
      <c r="G586" s="1">
        <v>48000</v>
      </c>
      <c r="H586" s="1">
        <v>13217</v>
      </c>
      <c r="I586" s="1" t="s">
        <v>15</v>
      </c>
      <c r="J586" s="1">
        <v>4</v>
      </c>
      <c r="K586" s="1" t="s">
        <v>15</v>
      </c>
      <c r="L586" s="1">
        <v>5</v>
      </c>
      <c r="M586" s="1" t="s">
        <v>20</v>
      </c>
      <c r="N586" s="5">
        <f>IF(Tabulka1[[#This Row],[E-shop]]="ano",1,0)</f>
        <v>0</v>
      </c>
      <c r="O586" s="5">
        <f>IF(Tabulka1[[#This Row],[Reklamace]]="ano",1,0)</f>
        <v>0</v>
      </c>
    </row>
    <row r="587" spans="1:15" ht="15.75" customHeight="1" x14ac:dyDescent="0.3">
      <c r="A587" s="1">
        <v>725</v>
      </c>
      <c r="B587" s="2">
        <v>45304</v>
      </c>
      <c r="C587" s="1" t="s">
        <v>36</v>
      </c>
      <c r="D587" s="1" t="s">
        <v>30</v>
      </c>
      <c r="E587" s="1">
        <v>6</v>
      </c>
      <c r="F587" s="1">
        <v>8000</v>
      </c>
      <c r="G587" s="1">
        <v>48000</v>
      </c>
      <c r="H587" s="1">
        <v>11417</v>
      </c>
      <c r="I587" s="1" t="s">
        <v>15</v>
      </c>
      <c r="J587" s="1">
        <v>5</v>
      </c>
      <c r="K587" s="1" t="s">
        <v>15</v>
      </c>
      <c r="L587" s="1">
        <v>6</v>
      </c>
      <c r="M587" s="1" t="s">
        <v>20</v>
      </c>
      <c r="N587" s="5">
        <f>IF(Tabulka1[[#This Row],[E-shop]]="ano",1,0)</f>
        <v>0</v>
      </c>
      <c r="O587" s="5">
        <f>IF(Tabulka1[[#This Row],[Reklamace]]="ano",1,0)</f>
        <v>0</v>
      </c>
    </row>
    <row r="588" spans="1:15" ht="15.75" customHeight="1" x14ac:dyDescent="0.3">
      <c r="A588" s="1">
        <v>764</v>
      </c>
      <c r="B588" s="2">
        <v>45783</v>
      </c>
      <c r="C588" s="1" t="s">
        <v>36</v>
      </c>
      <c r="D588" s="1" t="s">
        <v>14</v>
      </c>
      <c r="E588" s="1">
        <v>4</v>
      </c>
      <c r="F588" s="1">
        <v>12000</v>
      </c>
      <c r="G588" s="1">
        <v>48000</v>
      </c>
      <c r="H588" s="1">
        <v>8143</v>
      </c>
      <c r="I588" s="1" t="s">
        <v>15</v>
      </c>
      <c r="J588" s="1">
        <v>4</v>
      </c>
      <c r="K588" s="1" t="s">
        <v>15</v>
      </c>
      <c r="L588" s="1">
        <v>7</v>
      </c>
      <c r="M588" s="1" t="s">
        <v>20</v>
      </c>
      <c r="N588" s="5">
        <f>IF(Tabulka1[[#This Row],[E-shop]]="ano",1,0)</f>
        <v>0</v>
      </c>
      <c r="O588" s="5">
        <f>IF(Tabulka1[[#This Row],[Reklamace]]="ano",1,0)</f>
        <v>0</v>
      </c>
    </row>
    <row r="589" spans="1:15" ht="15.75" customHeight="1" x14ac:dyDescent="0.3">
      <c r="A589" s="1">
        <v>794</v>
      </c>
      <c r="B589" s="2">
        <v>45494</v>
      </c>
      <c r="C589" s="1" t="s">
        <v>21</v>
      </c>
      <c r="D589" s="1" t="s">
        <v>14</v>
      </c>
      <c r="E589" s="1">
        <v>4</v>
      </c>
      <c r="F589" s="1">
        <v>12000</v>
      </c>
      <c r="G589" s="1">
        <v>48000</v>
      </c>
      <c r="H589" s="1">
        <v>13315</v>
      </c>
      <c r="I589" s="1" t="s">
        <v>15</v>
      </c>
      <c r="J589" s="1">
        <v>1</v>
      </c>
      <c r="K589" s="1" t="s">
        <v>15</v>
      </c>
      <c r="L589" s="1">
        <v>7</v>
      </c>
      <c r="M589" s="1" t="s">
        <v>20</v>
      </c>
      <c r="N589" s="5">
        <f>IF(Tabulka1[[#This Row],[E-shop]]="ano",1,0)</f>
        <v>0</v>
      </c>
      <c r="O589" s="5">
        <f>IF(Tabulka1[[#This Row],[Reklamace]]="ano",1,0)</f>
        <v>0</v>
      </c>
    </row>
    <row r="590" spans="1:15" ht="15.75" customHeight="1" x14ac:dyDescent="0.3">
      <c r="A590" s="1">
        <v>825</v>
      </c>
      <c r="B590" s="2">
        <v>45622</v>
      </c>
      <c r="C590" s="1" t="s">
        <v>13</v>
      </c>
      <c r="D590" s="1" t="s">
        <v>35</v>
      </c>
      <c r="E590" s="1">
        <v>4</v>
      </c>
      <c r="F590" s="1">
        <v>12000</v>
      </c>
      <c r="G590" s="1">
        <v>48000</v>
      </c>
      <c r="H590" s="1">
        <v>9564</v>
      </c>
      <c r="I590" s="1" t="s">
        <v>15</v>
      </c>
      <c r="J590" s="1">
        <v>4</v>
      </c>
      <c r="K590" s="1" t="s">
        <v>15</v>
      </c>
      <c r="L590" s="1">
        <v>5</v>
      </c>
      <c r="M590" s="1" t="s">
        <v>20</v>
      </c>
      <c r="N590" s="5">
        <f>IF(Tabulka1[[#This Row],[E-shop]]="ano",1,0)</f>
        <v>0</v>
      </c>
      <c r="O590" s="5">
        <f>IF(Tabulka1[[#This Row],[Reklamace]]="ano",1,0)</f>
        <v>0</v>
      </c>
    </row>
    <row r="591" spans="1:15" ht="15.75" customHeight="1" x14ac:dyDescent="0.3">
      <c r="A591" s="1">
        <v>837</v>
      </c>
      <c r="B591" s="2">
        <v>45988</v>
      </c>
      <c r="C591" s="1" t="s">
        <v>21</v>
      </c>
      <c r="D591" s="1" t="s">
        <v>35</v>
      </c>
      <c r="E591" s="1">
        <v>4</v>
      </c>
      <c r="F591" s="1">
        <v>12000</v>
      </c>
      <c r="G591" s="1">
        <v>48000</v>
      </c>
      <c r="H591" s="1">
        <v>9293</v>
      </c>
      <c r="I591" s="1" t="s">
        <v>15</v>
      </c>
      <c r="J591" s="1">
        <v>5</v>
      </c>
      <c r="K591" s="1" t="s">
        <v>15</v>
      </c>
      <c r="L591" s="1">
        <v>6</v>
      </c>
      <c r="M591" s="1" t="s">
        <v>20</v>
      </c>
      <c r="N591" s="5">
        <f>IF(Tabulka1[[#This Row],[E-shop]]="ano",1,0)</f>
        <v>0</v>
      </c>
      <c r="O591" s="5">
        <f>IF(Tabulka1[[#This Row],[Reklamace]]="ano",1,0)</f>
        <v>0</v>
      </c>
    </row>
    <row r="592" spans="1:15" ht="15.75" customHeight="1" x14ac:dyDescent="0.3">
      <c r="A592" s="1">
        <v>857</v>
      </c>
      <c r="B592" s="2">
        <v>45931</v>
      </c>
      <c r="C592" s="1" t="s">
        <v>31</v>
      </c>
      <c r="D592" s="1" t="s">
        <v>27</v>
      </c>
      <c r="E592" s="1">
        <v>12</v>
      </c>
      <c r="F592" s="1">
        <v>4000</v>
      </c>
      <c r="G592" s="1">
        <v>48000</v>
      </c>
      <c r="H592" s="1">
        <v>11336</v>
      </c>
      <c r="I592" s="1" t="s">
        <v>15</v>
      </c>
      <c r="J592" s="1">
        <v>6</v>
      </c>
      <c r="K592" s="1" t="s">
        <v>16</v>
      </c>
      <c r="L592" s="1">
        <v>3</v>
      </c>
      <c r="M592" s="1" t="s">
        <v>20</v>
      </c>
      <c r="N592" s="5">
        <f>IF(Tabulka1[[#This Row],[E-shop]]="ano",1,0)</f>
        <v>0</v>
      </c>
      <c r="O592" s="5">
        <f>IF(Tabulka1[[#This Row],[Reklamace]]="ano",1,0)</f>
        <v>1</v>
      </c>
    </row>
    <row r="593" spans="1:15" ht="15.75" customHeight="1" x14ac:dyDescent="0.3">
      <c r="A593" s="1">
        <v>884</v>
      </c>
      <c r="B593" s="2">
        <v>45570</v>
      </c>
      <c r="C593" s="1" t="s">
        <v>36</v>
      </c>
      <c r="D593" s="1" t="s">
        <v>14</v>
      </c>
      <c r="E593" s="1">
        <v>4</v>
      </c>
      <c r="F593" s="1">
        <v>12000</v>
      </c>
      <c r="G593" s="1">
        <v>48000</v>
      </c>
      <c r="H593" s="1">
        <v>8796</v>
      </c>
      <c r="I593" s="1" t="s">
        <v>15</v>
      </c>
      <c r="J593" s="1">
        <v>6</v>
      </c>
      <c r="K593" s="1" t="s">
        <v>15</v>
      </c>
      <c r="L593" s="1">
        <v>3</v>
      </c>
      <c r="M593" s="1" t="s">
        <v>20</v>
      </c>
      <c r="N593" s="5">
        <f>IF(Tabulka1[[#This Row],[E-shop]]="ano",1,0)</f>
        <v>0</v>
      </c>
      <c r="O593" s="5">
        <f>IF(Tabulka1[[#This Row],[Reklamace]]="ano",1,0)</f>
        <v>0</v>
      </c>
    </row>
    <row r="594" spans="1:15" ht="15.75" customHeight="1" x14ac:dyDescent="0.3">
      <c r="A594" s="1">
        <v>998</v>
      </c>
      <c r="B594" s="2">
        <v>45824</v>
      </c>
      <c r="C594" s="1" t="s">
        <v>25</v>
      </c>
      <c r="D594" s="1" t="s">
        <v>35</v>
      </c>
      <c r="E594" s="1">
        <v>4</v>
      </c>
      <c r="F594" s="1">
        <v>12000</v>
      </c>
      <c r="G594" s="1">
        <v>48000</v>
      </c>
      <c r="H594" s="1">
        <v>12807</v>
      </c>
      <c r="I594" s="1" t="s">
        <v>16</v>
      </c>
      <c r="J594" s="1">
        <v>2</v>
      </c>
      <c r="K594" s="1" t="s">
        <v>15</v>
      </c>
      <c r="L594" s="1">
        <v>6</v>
      </c>
      <c r="M594" s="1" t="s">
        <v>17</v>
      </c>
      <c r="N594" s="5">
        <f>IF(Tabulka1[[#This Row],[E-shop]]="ano",1,0)</f>
        <v>1</v>
      </c>
      <c r="O594" s="5">
        <f>IF(Tabulka1[[#This Row],[Reklamace]]="ano",1,0)</f>
        <v>0</v>
      </c>
    </row>
    <row r="595" spans="1:15" ht="15.75" customHeight="1" x14ac:dyDescent="0.3">
      <c r="A595" s="1">
        <v>67</v>
      </c>
      <c r="B595" s="2">
        <v>46018</v>
      </c>
      <c r="C595" s="1" t="s">
        <v>18</v>
      </c>
      <c r="D595" s="1" t="s">
        <v>45</v>
      </c>
      <c r="E595" s="1">
        <v>13</v>
      </c>
      <c r="F595" s="1">
        <v>3500</v>
      </c>
      <c r="G595" s="1">
        <v>45500</v>
      </c>
      <c r="H595" s="1">
        <v>13069</v>
      </c>
      <c r="I595" s="1" t="s">
        <v>15</v>
      </c>
      <c r="J595" s="1">
        <v>3</v>
      </c>
      <c r="K595" s="1" t="s">
        <v>15</v>
      </c>
      <c r="L595" s="1">
        <v>6</v>
      </c>
      <c r="M595" s="1" t="s">
        <v>17</v>
      </c>
      <c r="N595" s="5">
        <f>IF(Tabulka1[[#This Row],[E-shop]]="ano",1,0)</f>
        <v>0</v>
      </c>
      <c r="O595" s="5">
        <f>IF(Tabulka1[[#This Row],[Reklamace]]="ano",1,0)</f>
        <v>0</v>
      </c>
    </row>
    <row r="596" spans="1:15" ht="15.75" customHeight="1" x14ac:dyDescent="0.3">
      <c r="A596" s="1">
        <v>429</v>
      </c>
      <c r="B596" s="2">
        <v>46011</v>
      </c>
      <c r="C596" s="1" t="s">
        <v>31</v>
      </c>
      <c r="D596" s="1" t="s">
        <v>45</v>
      </c>
      <c r="E596" s="1">
        <v>13</v>
      </c>
      <c r="F596" s="1">
        <v>3500</v>
      </c>
      <c r="G596" s="1">
        <v>45500</v>
      </c>
      <c r="H596" s="1">
        <v>13463</v>
      </c>
      <c r="I596" s="1" t="s">
        <v>16</v>
      </c>
      <c r="J596" s="1">
        <v>7</v>
      </c>
      <c r="K596" s="1" t="s">
        <v>15</v>
      </c>
      <c r="L596" s="1">
        <v>1</v>
      </c>
      <c r="M596" s="1" t="s">
        <v>20</v>
      </c>
      <c r="N596" s="5">
        <f>IF(Tabulka1[[#This Row],[E-shop]]="ano",1,0)</f>
        <v>1</v>
      </c>
      <c r="O596" s="5">
        <f>IF(Tabulka1[[#This Row],[Reklamace]]="ano",1,0)</f>
        <v>0</v>
      </c>
    </row>
    <row r="597" spans="1:15" ht="15.75" customHeight="1" x14ac:dyDescent="0.3">
      <c r="A597" s="1">
        <v>453</v>
      </c>
      <c r="B597" s="2">
        <v>45808</v>
      </c>
      <c r="C597" s="1" t="s">
        <v>21</v>
      </c>
      <c r="D597" s="1" t="s">
        <v>45</v>
      </c>
      <c r="E597" s="1">
        <v>13</v>
      </c>
      <c r="F597" s="1">
        <v>3500</v>
      </c>
      <c r="G597" s="1">
        <v>45500</v>
      </c>
      <c r="H597" s="1">
        <v>8993</v>
      </c>
      <c r="I597" s="1" t="s">
        <v>15</v>
      </c>
      <c r="J597" s="1">
        <v>3</v>
      </c>
      <c r="K597" s="1" t="s">
        <v>16</v>
      </c>
      <c r="L597" s="1">
        <v>8</v>
      </c>
      <c r="M597" s="1" t="s">
        <v>20</v>
      </c>
      <c r="N597" s="5">
        <f>IF(Tabulka1[[#This Row],[E-shop]]="ano",1,0)</f>
        <v>0</v>
      </c>
      <c r="O597" s="5">
        <f>IF(Tabulka1[[#This Row],[Reklamace]]="ano",1,0)</f>
        <v>1</v>
      </c>
    </row>
    <row r="598" spans="1:15" ht="15.75" customHeight="1" x14ac:dyDescent="0.3">
      <c r="A598" s="1">
        <v>477</v>
      </c>
      <c r="B598" s="2">
        <v>45581</v>
      </c>
      <c r="C598" s="1" t="s">
        <v>25</v>
      </c>
      <c r="D598" s="1" t="s">
        <v>34</v>
      </c>
      <c r="E598" s="1">
        <v>13</v>
      </c>
      <c r="F598" s="1">
        <v>3500</v>
      </c>
      <c r="G598" s="1">
        <v>45500</v>
      </c>
      <c r="H598" s="1">
        <v>10323</v>
      </c>
      <c r="I598" s="1" t="s">
        <v>15</v>
      </c>
      <c r="J598" s="1">
        <v>3</v>
      </c>
      <c r="K598" s="1" t="s">
        <v>15</v>
      </c>
      <c r="L598" s="1">
        <v>6</v>
      </c>
      <c r="M598" s="1" t="s">
        <v>17</v>
      </c>
      <c r="N598" s="5">
        <f>IF(Tabulka1[[#This Row],[E-shop]]="ano",1,0)</f>
        <v>0</v>
      </c>
      <c r="O598" s="5">
        <f>IF(Tabulka1[[#This Row],[Reklamace]]="ano",1,0)</f>
        <v>0</v>
      </c>
    </row>
    <row r="599" spans="1:15" ht="15.75" customHeight="1" x14ac:dyDescent="0.3">
      <c r="A599" s="1">
        <v>516</v>
      </c>
      <c r="B599" s="2">
        <v>45956</v>
      </c>
      <c r="C599" s="1" t="s">
        <v>13</v>
      </c>
      <c r="D599" s="1" t="s">
        <v>34</v>
      </c>
      <c r="E599" s="1">
        <v>13</v>
      </c>
      <c r="F599" s="1">
        <v>3500</v>
      </c>
      <c r="G599" s="1">
        <v>45500</v>
      </c>
      <c r="H599" s="1">
        <v>9188</v>
      </c>
      <c r="I599" s="1" t="s">
        <v>15</v>
      </c>
      <c r="J599" s="1">
        <v>6</v>
      </c>
      <c r="K599" s="1" t="s">
        <v>16</v>
      </c>
      <c r="L599" s="1">
        <v>2</v>
      </c>
      <c r="M599" s="1" t="s">
        <v>20</v>
      </c>
      <c r="N599" s="5">
        <f>IF(Tabulka1[[#This Row],[E-shop]]="ano",1,0)</f>
        <v>0</v>
      </c>
      <c r="O599" s="5">
        <f>IF(Tabulka1[[#This Row],[Reklamace]]="ano",1,0)</f>
        <v>1</v>
      </c>
    </row>
    <row r="600" spans="1:15" ht="15.75" customHeight="1" x14ac:dyDescent="0.3">
      <c r="A600" s="1">
        <v>547</v>
      </c>
      <c r="B600" s="2">
        <v>45332</v>
      </c>
      <c r="C600" s="1" t="s">
        <v>18</v>
      </c>
      <c r="D600" s="1" t="s">
        <v>45</v>
      </c>
      <c r="E600" s="1">
        <v>13</v>
      </c>
      <c r="F600" s="1">
        <v>3500</v>
      </c>
      <c r="G600" s="1">
        <v>45500</v>
      </c>
      <c r="H600" s="1">
        <v>9563</v>
      </c>
      <c r="I600" s="1" t="s">
        <v>15</v>
      </c>
      <c r="J600" s="1">
        <v>5</v>
      </c>
      <c r="K600" s="1" t="s">
        <v>16</v>
      </c>
      <c r="L600" s="1">
        <v>3</v>
      </c>
      <c r="M600" s="1" t="s">
        <v>20</v>
      </c>
      <c r="N600" s="5">
        <f>IF(Tabulka1[[#This Row],[E-shop]]="ano",1,0)</f>
        <v>0</v>
      </c>
      <c r="O600" s="5">
        <f>IF(Tabulka1[[#This Row],[Reklamace]]="ano",1,0)</f>
        <v>1</v>
      </c>
    </row>
    <row r="601" spans="1:15" ht="15.75" customHeight="1" x14ac:dyDescent="0.3">
      <c r="A601" s="1">
        <v>617</v>
      </c>
      <c r="B601" s="2">
        <v>45995</v>
      </c>
      <c r="C601" s="1" t="s">
        <v>21</v>
      </c>
      <c r="D601" s="1" t="s">
        <v>45</v>
      </c>
      <c r="E601" s="1">
        <v>13</v>
      </c>
      <c r="F601" s="1">
        <v>3500</v>
      </c>
      <c r="G601" s="1">
        <v>45500</v>
      </c>
      <c r="H601" s="1">
        <v>13086</v>
      </c>
      <c r="I601" s="1" t="s">
        <v>16</v>
      </c>
      <c r="J601" s="1">
        <v>9</v>
      </c>
      <c r="K601" s="1" t="s">
        <v>16</v>
      </c>
      <c r="L601" s="1">
        <v>1</v>
      </c>
      <c r="M601" s="1" t="s">
        <v>20</v>
      </c>
      <c r="N601" s="5">
        <f>IF(Tabulka1[[#This Row],[E-shop]]="ano",1,0)</f>
        <v>1</v>
      </c>
      <c r="O601" s="5">
        <f>IF(Tabulka1[[#This Row],[Reklamace]]="ano",1,0)</f>
        <v>1</v>
      </c>
    </row>
    <row r="602" spans="1:15" ht="15.75" customHeight="1" x14ac:dyDescent="0.3">
      <c r="A602" s="1">
        <v>920</v>
      </c>
      <c r="B602" s="2">
        <v>45555</v>
      </c>
      <c r="C602" s="1" t="s">
        <v>23</v>
      </c>
      <c r="D602" s="1" t="s">
        <v>34</v>
      </c>
      <c r="E602" s="1">
        <v>13</v>
      </c>
      <c r="F602" s="1">
        <v>3500</v>
      </c>
      <c r="G602" s="1">
        <v>45500</v>
      </c>
      <c r="H602" s="1">
        <v>7161</v>
      </c>
      <c r="I602" s="1" t="s">
        <v>15</v>
      </c>
      <c r="J602" s="1">
        <v>7</v>
      </c>
      <c r="K602" s="1" t="s">
        <v>16</v>
      </c>
      <c r="L602" s="1">
        <v>2</v>
      </c>
      <c r="M602" s="1" t="s">
        <v>20</v>
      </c>
      <c r="N602" s="5">
        <f>IF(Tabulka1[[#This Row],[E-shop]]="ano",1,0)</f>
        <v>0</v>
      </c>
      <c r="O602" s="5">
        <f>IF(Tabulka1[[#This Row],[Reklamace]]="ano",1,0)</f>
        <v>1</v>
      </c>
    </row>
    <row r="603" spans="1:15" ht="15.75" customHeight="1" x14ac:dyDescent="0.3">
      <c r="A603" s="1">
        <v>942</v>
      </c>
      <c r="B603" s="2">
        <v>45615</v>
      </c>
      <c r="C603" s="1" t="s">
        <v>21</v>
      </c>
      <c r="D603" s="1" t="s">
        <v>45</v>
      </c>
      <c r="E603" s="1">
        <v>13</v>
      </c>
      <c r="F603" s="1">
        <v>3500</v>
      </c>
      <c r="G603" s="1">
        <v>45500</v>
      </c>
      <c r="H603" s="1">
        <v>10233</v>
      </c>
      <c r="I603" s="1" t="s">
        <v>15</v>
      </c>
      <c r="J603" s="1">
        <v>5</v>
      </c>
      <c r="K603" s="1" t="s">
        <v>15</v>
      </c>
      <c r="L603" s="1">
        <v>5</v>
      </c>
      <c r="M603" s="1" t="s">
        <v>20</v>
      </c>
      <c r="N603" s="5">
        <f>IF(Tabulka1[[#This Row],[E-shop]]="ano",1,0)</f>
        <v>0</v>
      </c>
      <c r="O603" s="5">
        <f>IF(Tabulka1[[#This Row],[Reklamace]]="ano",1,0)</f>
        <v>0</v>
      </c>
    </row>
    <row r="604" spans="1:15" ht="15.75" customHeight="1" x14ac:dyDescent="0.3">
      <c r="A604" s="1">
        <v>957</v>
      </c>
      <c r="B604" s="2">
        <v>45519</v>
      </c>
      <c r="C604" s="1" t="s">
        <v>21</v>
      </c>
      <c r="D604" s="1" t="s">
        <v>34</v>
      </c>
      <c r="E604" s="1">
        <v>13</v>
      </c>
      <c r="F604" s="1">
        <v>3500</v>
      </c>
      <c r="G604" s="1">
        <v>45500</v>
      </c>
      <c r="H604" s="1">
        <v>8533</v>
      </c>
      <c r="I604" s="1" t="s">
        <v>16</v>
      </c>
      <c r="J604" s="1">
        <v>4</v>
      </c>
      <c r="K604" s="1" t="s">
        <v>15</v>
      </c>
      <c r="L604" s="1">
        <v>5</v>
      </c>
      <c r="M604" s="1" t="s">
        <v>17</v>
      </c>
      <c r="N604" s="5">
        <f>IF(Tabulka1[[#This Row],[E-shop]]="ano",1,0)</f>
        <v>1</v>
      </c>
      <c r="O604" s="5">
        <f>IF(Tabulka1[[#This Row],[Reklamace]]="ano",1,0)</f>
        <v>0</v>
      </c>
    </row>
    <row r="605" spans="1:15" ht="15.75" customHeight="1" x14ac:dyDescent="0.3">
      <c r="A605" s="1">
        <v>986</v>
      </c>
      <c r="B605" s="2">
        <v>45339</v>
      </c>
      <c r="C605" s="1" t="s">
        <v>21</v>
      </c>
      <c r="D605" s="1" t="s">
        <v>45</v>
      </c>
      <c r="E605" s="1">
        <v>13</v>
      </c>
      <c r="F605" s="1">
        <v>3500</v>
      </c>
      <c r="G605" s="1">
        <v>45500</v>
      </c>
      <c r="H605" s="1">
        <v>7998</v>
      </c>
      <c r="I605" s="1" t="s">
        <v>16</v>
      </c>
      <c r="J605" s="1">
        <v>8</v>
      </c>
      <c r="K605" s="1" t="s">
        <v>16</v>
      </c>
      <c r="L605" s="1">
        <v>1</v>
      </c>
      <c r="M605" s="1" t="s">
        <v>17</v>
      </c>
      <c r="N605" s="5">
        <f>IF(Tabulka1[[#This Row],[E-shop]]="ano",1,0)</f>
        <v>1</v>
      </c>
      <c r="O605" s="5">
        <f>IF(Tabulka1[[#This Row],[Reklamace]]="ano",1,0)</f>
        <v>1</v>
      </c>
    </row>
    <row r="606" spans="1:15" ht="15.75" customHeight="1" x14ac:dyDescent="0.3">
      <c r="A606" s="1">
        <v>3</v>
      </c>
      <c r="B606" s="2">
        <v>45674</v>
      </c>
      <c r="C606" s="1" t="s">
        <v>21</v>
      </c>
      <c r="D606" s="1" t="s">
        <v>22</v>
      </c>
      <c r="E606" s="1">
        <v>3</v>
      </c>
      <c r="F606" s="1">
        <v>15000</v>
      </c>
      <c r="G606" s="1">
        <v>45000</v>
      </c>
      <c r="H606" s="1">
        <v>13161</v>
      </c>
      <c r="I606" s="1" t="s">
        <v>16</v>
      </c>
      <c r="J606" s="1">
        <v>3</v>
      </c>
      <c r="K606" s="1" t="s">
        <v>15</v>
      </c>
      <c r="L606" s="1">
        <v>8</v>
      </c>
      <c r="M606" s="1" t="s">
        <v>20</v>
      </c>
      <c r="N606" s="5">
        <f>IF(Tabulka1[[#This Row],[E-shop]]="ano",1,0)</f>
        <v>1</v>
      </c>
      <c r="O606" s="5">
        <f>IF(Tabulka1[[#This Row],[Reklamace]]="ano",1,0)</f>
        <v>0</v>
      </c>
    </row>
    <row r="607" spans="1:15" ht="15.75" customHeight="1" x14ac:dyDescent="0.3">
      <c r="A607" s="1">
        <v>8</v>
      </c>
      <c r="B607" s="2">
        <v>46009</v>
      </c>
      <c r="C607" s="1" t="s">
        <v>25</v>
      </c>
      <c r="D607" s="1" t="s">
        <v>19</v>
      </c>
      <c r="E607" s="1">
        <v>5</v>
      </c>
      <c r="F607" s="1">
        <v>9000</v>
      </c>
      <c r="G607" s="1">
        <v>45000</v>
      </c>
      <c r="H607" s="1">
        <v>9941</v>
      </c>
      <c r="I607" s="1" t="s">
        <v>16</v>
      </c>
      <c r="J607" s="1">
        <v>2</v>
      </c>
      <c r="K607" s="1" t="s">
        <v>16</v>
      </c>
      <c r="L607" s="1">
        <v>6</v>
      </c>
      <c r="M607" s="1" t="s">
        <v>20</v>
      </c>
      <c r="N607" s="5">
        <f>IF(Tabulka1[[#This Row],[E-shop]]="ano",1,0)</f>
        <v>1</v>
      </c>
      <c r="O607" s="5">
        <f>IF(Tabulka1[[#This Row],[Reklamace]]="ano",1,0)</f>
        <v>1</v>
      </c>
    </row>
    <row r="608" spans="1:15" ht="15.75" customHeight="1" x14ac:dyDescent="0.3">
      <c r="A608" s="1">
        <v>196</v>
      </c>
      <c r="B608" s="2">
        <v>45868</v>
      </c>
      <c r="C608" s="1" t="s">
        <v>21</v>
      </c>
      <c r="D608" s="1" t="s">
        <v>19</v>
      </c>
      <c r="E608" s="1">
        <v>5</v>
      </c>
      <c r="F608" s="1">
        <v>9000</v>
      </c>
      <c r="G608" s="1">
        <v>45000</v>
      </c>
      <c r="H608" s="1">
        <v>8129</v>
      </c>
      <c r="I608" s="1" t="s">
        <v>15</v>
      </c>
      <c r="J608" s="1">
        <v>5</v>
      </c>
      <c r="K608" s="1" t="s">
        <v>15</v>
      </c>
      <c r="L608" s="1">
        <v>6</v>
      </c>
      <c r="M608" s="1" t="s">
        <v>20</v>
      </c>
      <c r="N608" s="5">
        <f>IF(Tabulka1[[#This Row],[E-shop]]="ano",1,0)</f>
        <v>0</v>
      </c>
      <c r="O608" s="5">
        <f>IF(Tabulka1[[#This Row],[Reklamace]]="ano",1,0)</f>
        <v>0</v>
      </c>
    </row>
    <row r="609" spans="1:15" ht="15.75" customHeight="1" x14ac:dyDescent="0.3">
      <c r="A609" s="1">
        <v>393</v>
      </c>
      <c r="B609" s="2">
        <v>45750</v>
      </c>
      <c r="C609" s="1" t="s">
        <v>18</v>
      </c>
      <c r="D609" s="1" t="s">
        <v>19</v>
      </c>
      <c r="E609" s="1">
        <v>5</v>
      </c>
      <c r="F609" s="1">
        <v>9000</v>
      </c>
      <c r="G609" s="1">
        <v>45000</v>
      </c>
      <c r="H609" s="1">
        <v>7919</v>
      </c>
      <c r="I609" s="1" t="s">
        <v>15</v>
      </c>
      <c r="J609" s="1">
        <v>6</v>
      </c>
      <c r="K609" s="1" t="s">
        <v>15</v>
      </c>
      <c r="L609" s="1">
        <v>5</v>
      </c>
      <c r="M609" s="1" t="s">
        <v>20</v>
      </c>
      <c r="N609" s="5">
        <f>IF(Tabulka1[[#This Row],[E-shop]]="ano",1,0)</f>
        <v>0</v>
      </c>
      <c r="O609" s="5">
        <f>IF(Tabulka1[[#This Row],[Reklamace]]="ano",1,0)</f>
        <v>0</v>
      </c>
    </row>
    <row r="610" spans="1:15" ht="15.75" customHeight="1" x14ac:dyDescent="0.3">
      <c r="A610" s="1">
        <v>502</v>
      </c>
      <c r="B610" s="2">
        <v>45368</v>
      </c>
      <c r="C610" s="1" t="s">
        <v>23</v>
      </c>
      <c r="D610" s="1" t="s">
        <v>19</v>
      </c>
      <c r="E610" s="1">
        <v>5</v>
      </c>
      <c r="F610" s="1">
        <v>9000</v>
      </c>
      <c r="G610" s="1">
        <v>45000</v>
      </c>
      <c r="H610" s="1">
        <v>8320</v>
      </c>
      <c r="I610" s="1" t="s">
        <v>15</v>
      </c>
      <c r="J610" s="1">
        <v>5</v>
      </c>
      <c r="K610" s="1" t="s">
        <v>16</v>
      </c>
      <c r="L610" s="1">
        <v>3</v>
      </c>
      <c r="M610" s="1" t="s">
        <v>20</v>
      </c>
      <c r="N610" s="5">
        <f>IF(Tabulka1[[#This Row],[E-shop]]="ano",1,0)</f>
        <v>0</v>
      </c>
      <c r="O610" s="5">
        <f>IF(Tabulka1[[#This Row],[Reklamace]]="ano",1,0)</f>
        <v>1</v>
      </c>
    </row>
    <row r="611" spans="1:15" ht="15.75" customHeight="1" x14ac:dyDescent="0.3">
      <c r="A611" s="1">
        <v>503</v>
      </c>
      <c r="B611" s="2">
        <v>45637</v>
      </c>
      <c r="C611" s="1" t="s">
        <v>18</v>
      </c>
      <c r="D611" s="1" t="s">
        <v>41</v>
      </c>
      <c r="E611" s="1">
        <v>9</v>
      </c>
      <c r="F611" s="1">
        <v>5000</v>
      </c>
      <c r="G611" s="1">
        <v>45000</v>
      </c>
      <c r="H611" s="1">
        <v>8994</v>
      </c>
      <c r="I611" s="1" t="s">
        <v>15</v>
      </c>
      <c r="J611" s="1">
        <v>3</v>
      </c>
      <c r="K611" s="1" t="s">
        <v>15</v>
      </c>
      <c r="L611" s="1">
        <v>7</v>
      </c>
      <c r="M611" s="1" t="s">
        <v>20</v>
      </c>
      <c r="N611" s="5">
        <f>IF(Tabulka1[[#This Row],[E-shop]]="ano",1,0)</f>
        <v>0</v>
      </c>
      <c r="O611" s="5">
        <f>IF(Tabulka1[[#This Row],[Reklamace]]="ano",1,0)</f>
        <v>0</v>
      </c>
    </row>
    <row r="612" spans="1:15" ht="15.75" customHeight="1" x14ac:dyDescent="0.3">
      <c r="A612" s="1">
        <v>551</v>
      </c>
      <c r="B612" s="2">
        <v>45455</v>
      </c>
      <c r="C612" s="1" t="s">
        <v>36</v>
      </c>
      <c r="D612" s="1" t="s">
        <v>38</v>
      </c>
      <c r="E612" s="1">
        <v>5</v>
      </c>
      <c r="F612" s="1">
        <v>9000</v>
      </c>
      <c r="G612" s="1">
        <v>45000</v>
      </c>
      <c r="H612" s="1">
        <v>6854</v>
      </c>
      <c r="I612" s="1" t="s">
        <v>16</v>
      </c>
      <c r="J612" s="1">
        <v>2</v>
      </c>
      <c r="K612" s="1" t="s">
        <v>15</v>
      </c>
      <c r="L612" s="1">
        <v>9</v>
      </c>
      <c r="M612" s="1" t="s">
        <v>20</v>
      </c>
      <c r="N612" s="5">
        <f>IF(Tabulka1[[#This Row],[E-shop]]="ano",1,0)</f>
        <v>1</v>
      </c>
      <c r="O612" s="5">
        <f>IF(Tabulka1[[#This Row],[Reklamace]]="ano",1,0)</f>
        <v>0</v>
      </c>
    </row>
    <row r="613" spans="1:15" ht="15.75" customHeight="1" x14ac:dyDescent="0.3">
      <c r="A613" s="1">
        <v>576</v>
      </c>
      <c r="B613" s="2">
        <v>45636</v>
      </c>
      <c r="C613" s="1" t="s">
        <v>21</v>
      </c>
      <c r="D613" s="1" t="s">
        <v>41</v>
      </c>
      <c r="E613" s="1">
        <v>9</v>
      </c>
      <c r="F613" s="1">
        <v>5000</v>
      </c>
      <c r="G613" s="1">
        <v>45000</v>
      </c>
      <c r="H613" s="1">
        <v>10703</v>
      </c>
      <c r="I613" s="1" t="s">
        <v>16</v>
      </c>
      <c r="J613" s="1">
        <v>4</v>
      </c>
      <c r="K613" s="1" t="s">
        <v>16</v>
      </c>
      <c r="L613" s="1">
        <v>4</v>
      </c>
      <c r="M613" s="1" t="s">
        <v>20</v>
      </c>
      <c r="N613" s="5">
        <f>IF(Tabulka1[[#This Row],[E-shop]]="ano",1,0)</f>
        <v>1</v>
      </c>
      <c r="O613" s="5">
        <f>IF(Tabulka1[[#This Row],[Reklamace]]="ano",1,0)</f>
        <v>1</v>
      </c>
    </row>
    <row r="614" spans="1:15" ht="15.75" customHeight="1" x14ac:dyDescent="0.3">
      <c r="A614" s="1">
        <v>846</v>
      </c>
      <c r="B614" s="2">
        <v>45542</v>
      </c>
      <c r="C614" s="1" t="s">
        <v>13</v>
      </c>
      <c r="D614" s="1" t="s">
        <v>22</v>
      </c>
      <c r="E614" s="1">
        <v>3</v>
      </c>
      <c r="F614" s="1">
        <v>15000</v>
      </c>
      <c r="G614" s="1">
        <v>45000</v>
      </c>
      <c r="H614" s="1">
        <v>7553</v>
      </c>
      <c r="I614" s="1" t="s">
        <v>16</v>
      </c>
      <c r="J614" s="1">
        <v>6</v>
      </c>
      <c r="K614" s="1" t="s">
        <v>16</v>
      </c>
      <c r="L614" s="1">
        <v>3</v>
      </c>
      <c r="M614" s="1" t="s">
        <v>20</v>
      </c>
      <c r="N614" s="5">
        <f>IF(Tabulka1[[#This Row],[E-shop]]="ano",1,0)</f>
        <v>1</v>
      </c>
      <c r="O614" s="5">
        <f>IF(Tabulka1[[#This Row],[Reklamace]]="ano",1,0)</f>
        <v>1</v>
      </c>
    </row>
    <row r="615" spans="1:15" ht="15.75" customHeight="1" x14ac:dyDescent="0.3">
      <c r="A615" s="1">
        <v>936</v>
      </c>
      <c r="B615" s="2">
        <v>45355</v>
      </c>
      <c r="C615" s="1" t="s">
        <v>25</v>
      </c>
      <c r="D615" s="1" t="s">
        <v>22</v>
      </c>
      <c r="E615" s="1">
        <v>3</v>
      </c>
      <c r="F615" s="1">
        <v>15000</v>
      </c>
      <c r="G615" s="1">
        <v>45000</v>
      </c>
      <c r="H615" s="1">
        <v>13066</v>
      </c>
      <c r="I615" s="1" t="s">
        <v>15</v>
      </c>
      <c r="J615" s="1">
        <v>4</v>
      </c>
      <c r="K615" s="1" t="s">
        <v>15</v>
      </c>
      <c r="L615" s="1">
        <v>5</v>
      </c>
      <c r="M615" s="1" t="s">
        <v>20</v>
      </c>
      <c r="N615" s="5">
        <f>IF(Tabulka1[[#This Row],[E-shop]]="ano",1,0)</f>
        <v>0</v>
      </c>
      <c r="O615" s="5">
        <f>IF(Tabulka1[[#This Row],[Reklamace]]="ano",1,0)</f>
        <v>0</v>
      </c>
    </row>
    <row r="616" spans="1:15" ht="15.75" customHeight="1" x14ac:dyDescent="0.3">
      <c r="A616" s="1">
        <v>965</v>
      </c>
      <c r="B616" s="2">
        <v>45425</v>
      </c>
      <c r="C616" s="1" t="s">
        <v>13</v>
      </c>
      <c r="D616" s="1" t="s">
        <v>19</v>
      </c>
      <c r="E616" s="1">
        <v>5</v>
      </c>
      <c r="F616" s="1">
        <v>9000</v>
      </c>
      <c r="G616" s="1">
        <v>45000</v>
      </c>
      <c r="H616" s="1">
        <v>11510</v>
      </c>
      <c r="I616" s="1" t="s">
        <v>15</v>
      </c>
      <c r="J616" s="1">
        <v>6</v>
      </c>
      <c r="K616" s="1" t="s">
        <v>15</v>
      </c>
      <c r="L616" s="1">
        <v>5</v>
      </c>
      <c r="M616" s="1" t="s">
        <v>20</v>
      </c>
      <c r="N616" s="5">
        <f>IF(Tabulka1[[#This Row],[E-shop]]="ano",1,0)</f>
        <v>0</v>
      </c>
      <c r="O616" s="5">
        <f>IF(Tabulka1[[#This Row],[Reklamace]]="ano",1,0)</f>
        <v>0</v>
      </c>
    </row>
    <row r="617" spans="1:15" ht="15.75" customHeight="1" x14ac:dyDescent="0.3">
      <c r="A617" s="1">
        <v>43</v>
      </c>
      <c r="B617" s="2">
        <v>45972</v>
      </c>
      <c r="C617" s="1" t="s">
        <v>25</v>
      </c>
      <c r="D617" s="1" t="s">
        <v>43</v>
      </c>
      <c r="E617" s="1">
        <v>4</v>
      </c>
      <c r="F617" s="1">
        <v>11000</v>
      </c>
      <c r="G617" s="1">
        <v>44000</v>
      </c>
      <c r="H617" s="1">
        <v>8391</v>
      </c>
      <c r="I617" s="1" t="s">
        <v>15</v>
      </c>
      <c r="J617" s="1">
        <v>7</v>
      </c>
      <c r="K617" s="1" t="s">
        <v>16</v>
      </c>
      <c r="L617" s="1">
        <v>3</v>
      </c>
      <c r="M617" s="1" t="s">
        <v>17</v>
      </c>
      <c r="N617" s="5">
        <f>IF(Tabulka1[[#This Row],[E-shop]]="ano",1,0)</f>
        <v>0</v>
      </c>
      <c r="O617" s="5">
        <f>IF(Tabulka1[[#This Row],[Reklamace]]="ano",1,0)</f>
        <v>1</v>
      </c>
    </row>
    <row r="618" spans="1:15" ht="15.75" customHeight="1" x14ac:dyDescent="0.3">
      <c r="A618" s="1">
        <v>65</v>
      </c>
      <c r="B618" s="2">
        <v>45307</v>
      </c>
      <c r="C618" s="1" t="s">
        <v>31</v>
      </c>
      <c r="D618" s="1" t="s">
        <v>43</v>
      </c>
      <c r="E618" s="1">
        <v>4</v>
      </c>
      <c r="F618" s="1">
        <v>11000</v>
      </c>
      <c r="G618" s="1">
        <v>44000</v>
      </c>
      <c r="H618" s="1">
        <v>7954</v>
      </c>
      <c r="I618" s="1" t="s">
        <v>16</v>
      </c>
      <c r="J618" s="1">
        <v>5</v>
      </c>
      <c r="K618" s="1" t="s">
        <v>15</v>
      </c>
      <c r="L618" s="1">
        <v>5</v>
      </c>
      <c r="M618" s="1" t="s">
        <v>20</v>
      </c>
      <c r="N618" s="5">
        <f>IF(Tabulka1[[#This Row],[E-shop]]="ano",1,0)</f>
        <v>1</v>
      </c>
      <c r="O618" s="5">
        <f>IF(Tabulka1[[#This Row],[Reklamace]]="ano",1,0)</f>
        <v>0</v>
      </c>
    </row>
    <row r="619" spans="1:15" ht="15.75" customHeight="1" x14ac:dyDescent="0.3">
      <c r="A619" s="1">
        <v>216</v>
      </c>
      <c r="B619" s="2">
        <v>45714</v>
      </c>
      <c r="C619" s="1" t="s">
        <v>13</v>
      </c>
      <c r="D619" s="1" t="s">
        <v>43</v>
      </c>
      <c r="E619" s="1">
        <v>4</v>
      </c>
      <c r="F619" s="1">
        <v>11000</v>
      </c>
      <c r="G619" s="1">
        <v>44000</v>
      </c>
      <c r="H619" s="1">
        <v>13140</v>
      </c>
      <c r="I619" s="1" t="s">
        <v>16</v>
      </c>
      <c r="J619" s="1">
        <v>6</v>
      </c>
      <c r="K619" s="1" t="s">
        <v>15</v>
      </c>
      <c r="L619" s="1">
        <v>2</v>
      </c>
      <c r="M619" s="1" t="s">
        <v>17</v>
      </c>
      <c r="N619" s="5">
        <f>IF(Tabulka1[[#This Row],[E-shop]]="ano",1,0)</f>
        <v>1</v>
      </c>
      <c r="O619" s="5">
        <f>IF(Tabulka1[[#This Row],[Reklamace]]="ano",1,0)</f>
        <v>0</v>
      </c>
    </row>
    <row r="620" spans="1:15" ht="15.75" customHeight="1" x14ac:dyDescent="0.3">
      <c r="A620" s="1">
        <v>231</v>
      </c>
      <c r="B620" s="2">
        <v>45759</v>
      </c>
      <c r="C620" s="1" t="s">
        <v>18</v>
      </c>
      <c r="D620" s="1" t="s">
        <v>43</v>
      </c>
      <c r="E620" s="1">
        <v>4</v>
      </c>
      <c r="F620" s="1">
        <v>11000</v>
      </c>
      <c r="G620" s="1">
        <v>44000</v>
      </c>
      <c r="H620" s="1">
        <v>7855</v>
      </c>
      <c r="I620" s="1" t="s">
        <v>15</v>
      </c>
      <c r="J620" s="1">
        <v>5</v>
      </c>
      <c r="K620" s="1" t="s">
        <v>16</v>
      </c>
      <c r="L620" s="1">
        <v>3</v>
      </c>
      <c r="M620" s="1" t="s">
        <v>20</v>
      </c>
      <c r="N620" s="5">
        <f>IF(Tabulka1[[#This Row],[E-shop]]="ano",1,0)</f>
        <v>0</v>
      </c>
      <c r="O620" s="5">
        <f>IF(Tabulka1[[#This Row],[Reklamace]]="ano",1,0)</f>
        <v>1</v>
      </c>
    </row>
    <row r="621" spans="1:15" ht="15.75" customHeight="1" x14ac:dyDescent="0.3">
      <c r="A621" s="1">
        <v>404</v>
      </c>
      <c r="B621" s="2">
        <v>45461</v>
      </c>
      <c r="C621" s="1" t="s">
        <v>25</v>
      </c>
      <c r="D621" s="1" t="s">
        <v>48</v>
      </c>
      <c r="E621" s="1">
        <v>2</v>
      </c>
      <c r="F621" s="1">
        <v>22000</v>
      </c>
      <c r="G621" s="1">
        <v>44000</v>
      </c>
      <c r="H621" s="1">
        <v>10398</v>
      </c>
      <c r="I621" s="1" t="s">
        <v>15</v>
      </c>
      <c r="J621" s="1">
        <v>6</v>
      </c>
      <c r="K621" s="1" t="s">
        <v>15</v>
      </c>
      <c r="L621" s="1">
        <v>5</v>
      </c>
      <c r="M621" s="1" t="s">
        <v>20</v>
      </c>
      <c r="N621" s="5">
        <f>IF(Tabulka1[[#This Row],[E-shop]]="ano",1,0)</f>
        <v>0</v>
      </c>
      <c r="O621" s="5">
        <f>IF(Tabulka1[[#This Row],[Reklamace]]="ano",1,0)</f>
        <v>0</v>
      </c>
    </row>
    <row r="622" spans="1:15" ht="15.75" customHeight="1" x14ac:dyDescent="0.3">
      <c r="A622" s="1">
        <v>554</v>
      </c>
      <c r="B622" s="2">
        <v>45841</v>
      </c>
      <c r="C622" s="1" t="s">
        <v>25</v>
      </c>
      <c r="D622" s="1" t="s">
        <v>27</v>
      </c>
      <c r="E622" s="1">
        <v>11</v>
      </c>
      <c r="F622" s="1">
        <v>4000</v>
      </c>
      <c r="G622" s="1">
        <v>44000</v>
      </c>
      <c r="H622" s="1">
        <v>6664</v>
      </c>
      <c r="I622" s="1" t="s">
        <v>16</v>
      </c>
      <c r="J622" s="1">
        <v>7</v>
      </c>
      <c r="K622" s="1" t="s">
        <v>16</v>
      </c>
      <c r="L622" s="1">
        <v>2</v>
      </c>
      <c r="M622" s="1" t="s">
        <v>20</v>
      </c>
      <c r="N622" s="5">
        <f>IF(Tabulka1[[#This Row],[E-shop]]="ano",1,0)</f>
        <v>1</v>
      </c>
      <c r="O622" s="5">
        <f>IF(Tabulka1[[#This Row],[Reklamace]]="ano",1,0)</f>
        <v>1</v>
      </c>
    </row>
    <row r="623" spans="1:15" ht="15.75" customHeight="1" x14ac:dyDescent="0.3">
      <c r="A623" s="1">
        <v>715</v>
      </c>
      <c r="B623" s="2">
        <v>45959</v>
      </c>
      <c r="C623" s="1" t="s">
        <v>21</v>
      </c>
      <c r="D623" s="1" t="s">
        <v>27</v>
      </c>
      <c r="E623" s="1">
        <v>11</v>
      </c>
      <c r="F623" s="1">
        <v>4000</v>
      </c>
      <c r="G623" s="1">
        <v>44000</v>
      </c>
      <c r="H623" s="1">
        <v>10186</v>
      </c>
      <c r="I623" s="1" t="s">
        <v>15</v>
      </c>
      <c r="J623" s="1">
        <v>9</v>
      </c>
      <c r="K623" s="1" t="s">
        <v>16</v>
      </c>
      <c r="L623" s="1">
        <v>2</v>
      </c>
      <c r="M623" s="1" t="s">
        <v>20</v>
      </c>
      <c r="N623" s="5">
        <f>IF(Tabulka1[[#This Row],[E-shop]]="ano",1,0)</f>
        <v>0</v>
      </c>
      <c r="O623" s="5">
        <f>IF(Tabulka1[[#This Row],[Reklamace]]="ano",1,0)</f>
        <v>1</v>
      </c>
    </row>
    <row r="624" spans="1:15" ht="15.75" customHeight="1" x14ac:dyDescent="0.3">
      <c r="A624" s="1">
        <v>733</v>
      </c>
      <c r="B624" s="2">
        <v>45805</v>
      </c>
      <c r="C624" s="1" t="s">
        <v>13</v>
      </c>
      <c r="D624" s="1" t="s">
        <v>43</v>
      </c>
      <c r="E624" s="1">
        <v>4</v>
      </c>
      <c r="F624" s="1">
        <v>11000</v>
      </c>
      <c r="G624" s="1">
        <v>44000</v>
      </c>
      <c r="H624" s="1">
        <v>12160</v>
      </c>
      <c r="I624" s="1" t="s">
        <v>15</v>
      </c>
      <c r="J624" s="1">
        <v>4</v>
      </c>
      <c r="K624" s="1" t="s">
        <v>16</v>
      </c>
      <c r="L624" s="1">
        <v>4</v>
      </c>
      <c r="M624" s="1" t="s">
        <v>17</v>
      </c>
      <c r="N624" s="5">
        <f>IF(Tabulka1[[#This Row],[E-shop]]="ano",1,0)</f>
        <v>0</v>
      </c>
      <c r="O624" s="5">
        <f>IF(Tabulka1[[#This Row],[Reklamace]]="ano",1,0)</f>
        <v>1</v>
      </c>
    </row>
    <row r="625" spans="1:15" ht="15.75" customHeight="1" x14ac:dyDescent="0.3">
      <c r="A625" s="1">
        <v>734</v>
      </c>
      <c r="B625" s="2">
        <v>45610</v>
      </c>
      <c r="C625" s="1" t="s">
        <v>25</v>
      </c>
      <c r="D625" s="1" t="s">
        <v>27</v>
      </c>
      <c r="E625" s="1">
        <v>11</v>
      </c>
      <c r="F625" s="1">
        <v>4000</v>
      </c>
      <c r="G625" s="1">
        <v>44000</v>
      </c>
      <c r="H625" s="1">
        <v>8072</v>
      </c>
      <c r="I625" s="1" t="s">
        <v>16</v>
      </c>
      <c r="J625" s="1">
        <v>3</v>
      </c>
      <c r="K625" s="1" t="s">
        <v>15</v>
      </c>
      <c r="L625" s="1">
        <v>5</v>
      </c>
      <c r="M625" s="1" t="s">
        <v>20</v>
      </c>
      <c r="N625" s="5">
        <f>IF(Tabulka1[[#This Row],[E-shop]]="ano",1,0)</f>
        <v>1</v>
      </c>
      <c r="O625" s="5">
        <f>IF(Tabulka1[[#This Row],[Reklamace]]="ano",1,0)</f>
        <v>0</v>
      </c>
    </row>
    <row r="626" spans="1:15" ht="15.75" customHeight="1" x14ac:dyDescent="0.3">
      <c r="A626" s="1">
        <v>843</v>
      </c>
      <c r="B626" s="2">
        <v>45634</v>
      </c>
      <c r="C626" s="1" t="s">
        <v>31</v>
      </c>
      <c r="D626" s="1" t="s">
        <v>27</v>
      </c>
      <c r="E626" s="1">
        <v>11</v>
      </c>
      <c r="F626" s="1">
        <v>4000</v>
      </c>
      <c r="G626" s="1">
        <v>44000</v>
      </c>
      <c r="H626" s="1">
        <v>7912</v>
      </c>
      <c r="I626" s="1" t="s">
        <v>16</v>
      </c>
      <c r="J626" s="1">
        <v>4</v>
      </c>
      <c r="K626" s="1" t="s">
        <v>16</v>
      </c>
      <c r="L626" s="1">
        <v>4</v>
      </c>
      <c r="M626" s="1" t="s">
        <v>20</v>
      </c>
      <c r="N626" s="5">
        <f>IF(Tabulka1[[#This Row],[E-shop]]="ano",1,0)</f>
        <v>1</v>
      </c>
      <c r="O626" s="5">
        <f>IF(Tabulka1[[#This Row],[Reklamace]]="ano",1,0)</f>
        <v>1</v>
      </c>
    </row>
    <row r="627" spans="1:15" ht="15.75" customHeight="1" x14ac:dyDescent="0.3">
      <c r="A627" s="1">
        <v>985</v>
      </c>
      <c r="B627" s="2">
        <v>45635</v>
      </c>
      <c r="C627" s="1" t="s">
        <v>36</v>
      </c>
      <c r="D627" s="1" t="s">
        <v>43</v>
      </c>
      <c r="E627" s="1">
        <v>4</v>
      </c>
      <c r="F627" s="1">
        <v>11000</v>
      </c>
      <c r="G627" s="1">
        <v>44000</v>
      </c>
      <c r="H627" s="1">
        <v>12352</v>
      </c>
      <c r="I627" s="1" t="s">
        <v>15</v>
      </c>
      <c r="J627" s="1">
        <v>4</v>
      </c>
      <c r="K627" s="1" t="s">
        <v>15</v>
      </c>
      <c r="L627" s="1">
        <v>7</v>
      </c>
      <c r="M627" s="1" t="s">
        <v>20</v>
      </c>
      <c r="N627" s="5">
        <f>IF(Tabulka1[[#This Row],[E-shop]]="ano",1,0)</f>
        <v>0</v>
      </c>
      <c r="O627" s="5">
        <f>IF(Tabulka1[[#This Row],[Reklamace]]="ano",1,0)</f>
        <v>0</v>
      </c>
    </row>
    <row r="628" spans="1:15" ht="15.75" customHeight="1" x14ac:dyDescent="0.3">
      <c r="A628" s="1">
        <v>35</v>
      </c>
      <c r="B628" s="2">
        <v>45470</v>
      </c>
      <c r="C628" s="1" t="s">
        <v>13</v>
      </c>
      <c r="D628" s="1" t="s">
        <v>42</v>
      </c>
      <c r="E628" s="1">
        <v>6</v>
      </c>
      <c r="F628" s="1">
        <v>7000</v>
      </c>
      <c r="G628" s="1">
        <v>42000</v>
      </c>
      <c r="H628" s="1">
        <v>12586</v>
      </c>
      <c r="I628" s="1" t="s">
        <v>15</v>
      </c>
      <c r="J628" s="1">
        <v>6</v>
      </c>
      <c r="K628" s="1" t="s">
        <v>15</v>
      </c>
      <c r="L628" s="1">
        <v>3</v>
      </c>
      <c r="M628" s="1" t="s">
        <v>20</v>
      </c>
      <c r="N628" s="5">
        <f>IF(Tabulka1[[#This Row],[E-shop]]="ano",1,0)</f>
        <v>0</v>
      </c>
      <c r="O628" s="5">
        <f>IF(Tabulka1[[#This Row],[Reklamace]]="ano",1,0)</f>
        <v>0</v>
      </c>
    </row>
    <row r="629" spans="1:15" ht="15.75" customHeight="1" x14ac:dyDescent="0.3">
      <c r="A629" s="1">
        <v>266</v>
      </c>
      <c r="B629" s="2">
        <v>45462</v>
      </c>
      <c r="C629" s="1" t="s">
        <v>23</v>
      </c>
      <c r="D629" s="1" t="s">
        <v>33</v>
      </c>
      <c r="E629" s="1">
        <v>7</v>
      </c>
      <c r="F629" s="1">
        <v>6000</v>
      </c>
      <c r="G629" s="1">
        <v>42000</v>
      </c>
      <c r="H629" s="1">
        <v>7889</v>
      </c>
      <c r="I629" s="1" t="s">
        <v>15</v>
      </c>
      <c r="J629" s="1">
        <v>8</v>
      </c>
      <c r="K629" s="1" t="s">
        <v>16</v>
      </c>
      <c r="L629" s="1">
        <v>2</v>
      </c>
      <c r="M629" s="1" t="s">
        <v>20</v>
      </c>
      <c r="N629" s="5">
        <f>IF(Tabulka1[[#This Row],[E-shop]]="ano",1,0)</f>
        <v>0</v>
      </c>
      <c r="O629" s="5">
        <f>IF(Tabulka1[[#This Row],[Reklamace]]="ano",1,0)</f>
        <v>1</v>
      </c>
    </row>
    <row r="630" spans="1:15" ht="15.75" customHeight="1" x14ac:dyDescent="0.3">
      <c r="A630" s="1">
        <v>286</v>
      </c>
      <c r="B630" s="2">
        <v>45460</v>
      </c>
      <c r="C630" s="1" t="s">
        <v>23</v>
      </c>
      <c r="D630" s="1" t="s">
        <v>42</v>
      </c>
      <c r="E630" s="1">
        <v>6</v>
      </c>
      <c r="F630" s="1">
        <v>7000</v>
      </c>
      <c r="G630" s="1">
        <v>42000</v>
      </c>
      <c r="H630" s="1">
        <v>12149</v>
      </c>
      <c r="I630" s="1" t="s">
        <v>16</v>
      </c>
      <c r="J630" s="1">
        <v>4</v>
      </c>
      <c r="K630" s="1" t="s">
        <v>15</v>
      </c>
      <c r="L630" s="1">
        <v>5</v>
      </c>
      <c r="M630" s="1" t="s">
        <v>20</v>
      </c>
      <c r="N630" s="5">
        <f>IF(Tabulka1[[#This Row],[E-shop]]="ano",1,0)</f>
        <v>1</v>
      </c>
      <c r="O630" s="5">
        <f>IF(Tabulka1[[#This Row],[Reklamace]]="ano",1,0)</f>
        <v>0</v>
      </c>
    </row>
    <row r="631" spans="1:15" ht="15.75" customHeight="1" x14ac:dyDescent="0.3">
      <c r="A631" s="1">
        <v>392</v>
      </c>
      <c r="B631" s="2">
        <v>45631</v>
      </c>
      <c r="C631" s="1" t="s">
        <v>25</v>
      </c>
      <c r="D631" s="1" t="s">
        <v>40</v>
      </c>
      <c r="E631" s="1">
        <v>3</v>
      </c>
      <c r="F631" s="1">
        <v>14000</v>
      </c>
      <c r="G631" s="1">
        <v>42000</v>
      </c>
      <c r="H631" s="1">
        <v>10481</v>
      </c>
      <c r="I631" s="1" t="s">
        <v>16</v>
      </c>
      <c r="J631" s="1">
        <v>4</v>
      </c>
      <c r="K631" s="1" t="s">
        <v>15</v>
      </c>
      <c r="L631" s="1">
        <v>5</v>
      </c>
      <c r="M631" s="1" t="s">
        <v>20</v>
      </c>
      <c r="N631" s="5">
        <f>IF(Tabulka1[[#This Row],[E-shop]]="ano",1,0)</f>
        <v>1</v>
      </c>
      <c r="O631" s="5">
        <f>IF(Tabulka1[[#This Row],[Reklamace]]="ano",1,0)</f>
        <v>0</v>
      </c>
    </row>
    <row r="632" spans="1:15" ht="15.75" customHeight="1" x14ac:dyDescent="0.3">
      <c r="A632" s="1">
        <v>487</v>
      </c>
      <c r="B632" s="2">
        <v>45362</v>
      </c>
      <c r="C632" s="1" t="s">
        <v>18</v>
      </c>
      <c r="D632" s="1" t="s">
        <v>45</v>
      </c>
      <c r="E632" s="1">
        <v>12</v>
      </c>
      <c r="F632" s="1">
        <v>3500</v>
      </c>
      <c r="G632" s="1">
        <v>42000</v>
      </c>
      <c r="H632" s="1">
        <v>10697</v>
      </c>
      <c r="I632" s="1" t="s">
        <v>15</v>
      </c>
      <c r="J632" s="1">
        <v>7</v>
      </c>
      <c r="K632" s="1" t="s">
        <v>16</v>
      </c>
      <c r="L632" s="1">
        <v>4</v>
      </c>
      <c r="M632" s="1" t="s">
        <v>17</v>
      </c>
      <c r="N632" s="5">
        <f>IF(Tabulka1[[#This Row],[E-shop]]="ano",1,0)</f>
        <v>0</v>
      </c>
      <c r="O632" s="5">
        <f>IF(Tabulka1[[#This Row],[Reklamace]]="ano",1,0)</f>
        <v>1</v>
      </c>
    </row>
    <row r="633" spans="1:15" ht="15.75" customHeight="1" x14ac:dyDescent="0.3">
      <c r="A633" s="1">
        <v>562</v>
      </c>
      <c r="B633" s="2">
        <v>45874</v>
      </c>
      <c r="C633" s="1" t="s">
        <v>25</v>
      </c>
      <c r="D633" s="1" t="s">
        <v>34</v>
      </c>
      <c r="E633" s="1">
        <v>12</v>
      </c>
      <c r="F633" s="1">
        <v>3500</v>
      </c>
      <c r="G633" s="1">
        <v>42000</v>
      </c>
      <c r="H633" s="1">
        <v>10504</v>
      </c>
      <c r="I633" s="1" t="s">
        <v>15</v>
      </c>
      <c r="J633" s="1">
        <v>6</v>
      </c>
      <c r="K633" s="1" t="s">
        <v>16</v>
      </c>
      <c r="L633" s="1">
        <v>3</v>
      </c>
      <c r="M633" s="1" t="s">
        <v>20</v>
      </c>
      <c r="N633" s="5">
        <f>IF(Tabulka1[[#This Row],[E-shop]]="ano",1,0)</f>
        <v>0</v>
      </c>
      <c r="O633" s="5">
        <f>IF(Tabulka1[[#This Row],[Reklamace]]="ano",1,0)</f>
        <v>1</v>
      </c>
    </row>
    <row r="634" spans="1:15" ht="15.75" customHeight="1" x14ac:dyDescent="0.3">
      <c r="A634" s="1">
        <v>568</v>
      </c>
      <c r="B634" s="2">
        <v>45320</v>
      </c>
      <c r="C634" s="1" t="s">
        <v>13</v>
      </c>
      <c r="D634" s="1" t="s">
        <v>33</v>
      </c>
      <c r="E634" s="1">
        <v>7</v>
      </c>
      <c r="F634" s="1">
        <v>6000</v>
      </c>
      <c r="G634" s="1">
        <v>42000</v>
      </c>
      <c r="H634" s="1">
        <v>7313</v>
      </c>
      <c r="I634" s="1" t="s">
        <v>15</v>
      </c>
      <c r="J634" s="1">
        <v>5</v>
      </c>
      <c r="K634" s="1" t="s">
        <v>15</v>
      </c>
      <c r="L634" s="1">
        <v>5</v>
      </c>
      <c r="M634" s="1" t="s">
        <v>20</v>
      </c>
      <c r="N634" s="5">
        <f>IF(Tabulka1[[#This Row],[E-shop]]="ano",1,0)</f>
        <v>0</v>
      </c>
      <c r="O634" s="5">
        <f>IF(Tabulka1[[#This Row],[Reklamace]]="ano",1,0)</f>
        <v>0</v>
      </c>
    </row>
    <row r="635" spans="1:15" ht="15.75" customHeight="1" x14ac:dyDescent="0.3">
      <c r="A635" s="1">
        <v>619</v>
      </c>
      <c r="B635" s="2">
        <v>45686</v>
      </c>
      <c r="C635" s="1" t="s">
        <v>18</v>
      </c>
      <c r="D635" s="1" t="s">
        <v>42</v>
      </c>
      <c r="E635" s="1">
        <v>6</v>
      </c>
      <c r="F635" s="1">
        <v>7000</v>
      </c>
      <c r="G635" s="1">
        <v>42000</v>
      </c>
      <c r="H635" s="1">
        <v>7996</v>
      </c>
      <c r="I635" s="1" t="s">
        <v>15</v>
      </c>
      <c r="J635" s="1">
        <v>6</v>
      </c>
      <c r="K635" s="1" t="s">
        <v>15</v>
      </c>
      <c r="L635" s="1">
        <v>3</v>
      </c>
      <c r="M635" s="1" t="s">
        <v>17</v>
      </c>
      <c r="N635" s="5">
        <f>IF(Tabulka1[[#This Row],[E-shop]]="ano",1,0)</f>
        <v>0</v>
      </c>
      <c r="O635" s="5">
        <f>IF(Tabulka1[[#This Row],[Reklamace]]="ano",1,0)</f>
        <v>0</v>
      </c>
    </row>
    <row r="636" spans="1:15" ht="15.75" customHeight="1" x14ac:dyDescent="0.3">
      <c r="A636" s="1">
        <v>839</v>
      </c>
      <c r="B636" s="2">
        <v>45467</v>
      </c>
      <c r="C636" s="1" t="s">
        <v>36</v>
      </c>
      <c r="D636" s="1" t="s">
        <v>45</v>
      </c>
      <c r="E636" s="1">
        <v>12</v>
      </c>
      <c r="F636" s="1">
        <v>3500</v>
      </c>
      <c r="G636" s="1">
        <v>42000</v>
      </c>
      <c r="H636" s="1">
        <v>9473</v>
      </c>
      <c r="I636" s="1" t="s">
        <v>15</v>
      </c>
      <c r="J636" s="1">
        <v>5</v>
      </c>
      <c r="K636" s="1" t="s">
        <v>15</v>
      </c>
      <c r="L636" s="1">
        <v>3</v>
      </c>
      <c r="M636" s="1" t="s">
        <v>20</v>
      </c>
      <c r="N636" s="5">
        <f>IF(Tabulka1[[#This Row],[E-shop]]="ano",1,0)</f>
        <v>0</v>
      </c>
      <c r="O636" s="5">
        <f>IF(Tabulka1[[#This Row],[Reklamace]]="ano",1,0)</f>
        <v>0</v>
      </c>
    </row>
    <row r="637" spans="1:15" ht="15.75" customHeight="1" x14ac:dyDescent="0.3">
      <c r="A637" s="1">
        <v>956</v>
      </c>
      <c r="B637" s="2">
        <v>45814</v>
      </c>
      <c r="C637" s="1" t="s">
        <v>25</v>
      </c>
      <c r="D637" s="1" t="s">
        <v>37</v>
      </c>
      <c r="E637" s="1">
        <v>6</v>
      </c>
      <c r="F637" s="1">
        <v>7000</v>
      </c>
      <c r="G637" s="1">
        <v>42000</v>
      </c>
      <c r="H637" s="1">
        <v>12558</v>
      </c>
      <c r="I637" s="1" t="s">
        <v>15</v>
      </c>
      <c r="J637" s="1">
        <v>8</v>
      </c>
      <c r="K637" s="1" t="s">
        <v>16</v>
      </c>
      <c r="L637" s="1">
        <v>2</v>
      </c>
      <c r="M637" s="1" t="s">
        <v>20</v>
      </c>
      <c r="N637" s="5">
        <f>IF(Tabulka1[[#This Row],[E-shop]]="ano",1,0)</f>
        <v>0</v>
      </c>
      <c r="O637" s="5">
        <f>IF(Tabulka1[[#This Row],[Reklamace]]="ano",1,0)</f>
        <v>1</v>
      </c>
    </row>
    <row r="638" spans="1:15" ht="15.75" customHeight="1" x14ac:dyDescent="0.3">
      <c r="A638" s="1">
        <v>975</v>
      </c>
      <c r="B638" s="2">
        <v>45503</v>
      </c>
      <c r="C638" s="1" t="s">
        <v>36</v>
      </c>
      <c r="D638" s="1" t="s">
        <v>24</v>
      </c>
      <c r="E638" s="1">
        <v>6</v>
      </c>
      <c r="F638" s="1">
        <v>7000</v>
      </c>
      <c r="G638" s="1">
        <v>42000</v>
      </c>
      <c r="H638" s="1">
        <v>8462</v>
      </c>
      <c r="I638" s="1" t="s">
        <v>16</v>
      </c>
      <c r="J638" s="1">
        <v>8</v>
      </c>
      <c r="K638" s="1" t="s">
        <v>15</v>
      </c>
      <c r="L638" s="1">
        <v>1</v>
      </c>
      <c r="M638" s="1" t="s">
        <v>17</v>
      </c>
      <c r="N638" s="5">
        <f>IF(Tabulka1[[#This Row],[E-shop]]="ano",1,0)</f>
        <v>1</v>
      </c>
      <c r="O638" s="5">
        <f>IF(Tabulka1[[#This Row],[Reklamace]]="ano",1,0)</f>
        <v>0</v>
      </c>
    </row>
    <row r="639" spans="1:15" ht="15.75" customHeight="1" x14ac:dyDescent="0.3">
      <c r="A639" s="1">
        <v>48</v>
      </c>
      <c r="B639" s="2">
        <v>45919</v>
      </c>
      <c r="C639" s="1" t="s">
        <v>25</v>
      </c>
      <c r="D639" s="1" t="s">
        <v>44</v>
      </c>
      <c r="E639" s="1">
        <v>4</v>
      </c>
      <c r="F639" s="1">
        <v>10000</v>
      </c>
      <c r="G639" s="1">
        <v>40000</v>
      </c>
      <c r="H639" s="1">
        <v>10494</v>
      </c>
      <c r="I639" s="1" t="s">
        <v>15</v>
      </c>
      <c r="J639" s="1">
        <v>6</v>
      </c>
      <c r="K639" s="1" t="s">
        <v>16</v>
      </c>
      <c r="L639" s="1">
        <v>2</v>
      </c>
      <c r="M639" s="1" t="s">
        <v>20</v>
      </c>
      <c r="N639" s="5">
        <f>IF(Tabulka1[[#This Row],[E-shop]]="ano",1,0)</f>
        <v>0</v>
      </c>
      <c r="O639" s="5">
        <f>IF(Tabulka1[[#This Row],[Reklamace]]="ano",1,0)</f>
        <v>1</v>
      </c>
    </row>
    <row r="640" spans="1:15" ht="15.75" customHeight="1" x14ac:dyDescent="0.3">
      <c r="A640" s="1">
        <v>157</v>
      </c>
      <c r="B640" s="2">
        <v>45874</v>
      </c>
      <c r="C640" s="1" t="s">
        <v>13</v>
      </c>
      <c r="D640" s="1" t="s">
        <v>29</v>
      </c>
      <c r="E640" s="1">
        <v>2</v>
      </c>
      <c r="F640" s="1">
        <v>20000</v>
      </c>
      <c r="G640" s="1">
        <v>40000</v>
      </c>
      <c r="H640" s="1">
        <v>6965</v>
      </c>
      <c r="I640" s="1" t="s">
        <v>16</v>
      </c>
      <c r="J640" s="1">
        <v>7</v>
      </c>
      <c r="K640" s="1" t="s">
        <v>16</v>
      </c>
      <c r="L640" s="1">
        <v>4</v>
      </c>
      <c r="M640" s="1" t="s">
        <v>20</v>
      </c>
      <c r="N640" s="5">
        <f>IF(Tabulka1[[#This Row],[E-shop]]="ano",1,0)</f>
        <v>1</v>
      </c>
      <c r="O640" s="5">
        <f>IF(Tabulka1[[#This Row],[Reklamace]]="ano",1,0)</f>
        <v>1</v>
      </c>
    </row>
    <row r="641" spans="1:15" ht="15.75" customHeight="1" x14ac:dyDescent="0.3">
      <c r="A641" s="1">
        <v>168</v>
      </c>
      <c r="B641" s="2">
        <v>46008</v>
      </c>
      <c r="C641" s="1" t="s">
        <v>25</v>
      </c>
      <c r="D641" s="1" t="s">
        <v>41</v>
      </c>
      <c r="E641" s="1">
        <v>8</v>
      </c>
      <c r="F641" s="1">
        <v>5000</v>
      </c>
      <c r="G641" s="1">
        <v>40000</v>
      </c>
      <c r="H641" s="1">
        <v>10911</v>
      </c>
      <c r="I641" s="1" t="s">
        <v>15</v>
      </c>
      <c r="J641" s="1">
        <v>3</v>
      </c>
      <c r="K641" s="1" t="s">
        <v>15</v>
      </c>
      <c r="L641" s="1">
        <v>6</v>
      </c>
      <c r="M641" s="1" t="s">
        <v>20</v>
      </c>
      <c r="N641" s="5">
        <f>IF(Tabulka1[[#This Row],[E-shop]]="ano",1,0)</f>
        <v>0</v>
      </c>
      <c r="O641" s="5">
        <f>IF(Tabulka1[[#This Row],[Reklamace]]="ano",1,0)</f>
        <v>0</v>
      </c>
    </row>
    <row r="642" spans="1:15" ht="15.75" customHeight="1" x14ac:dyDescent="0.3">
      <c r="A642" s="1">
        <v>208</v>
      </c>
      <c r="B642" s="2">
        <v>45640</v>
      </c>
      <c r="C642" s="1" t="s">
        <v>36</v>
      </c>
      <c r="D642" s="1" t="s">
        <v>41</v>
      </c>
      <c r="E642" s="1">
        <v>8</v>
      </c>
      <c r="F642" s="1">
        <v>5000</v>
      </c>
      <c r="G642" s="1">
        <v>40000</v>
      </c>
      <c r="H642" s="1">
        <v>6189</v>
      </c>
      <c r="I642" s="1" t="s">
        <v>15</v>
      </c>
      <c r="J642" s="1">
        <v>5</v>
      </c>
      <c r="K642" s="1" t="s">
        <v>15</v>
      </c>
      <c r="L642" s="1">
        <v>6</v>
      </c>
      <c r="M642" s="1" t="s">
        <v>20</v>
      </c>
      <c r="N642" s="5">
        <f>IF(Tabulka1[[#This Row],[E-shop]]="ano",1,0)</f>
        <v>0</v>
      </c>
      <c r="O642" s="5">
        <f>IF(Tabulka1[[#This Row],[Reklamace]]="ano",1,0)</f>
        <v>0</v>
      </c>
    </row>
    <row r="643" spans="1:15" ht="15.75" customHeight="1" x14ac:dyDescent="0.3">
      <c r="A643" s="1">
        <v>227</v>
      </c>
      <c r="B643" s="2">
        <v>45817</v>
      </c>
      <c r="C643" s="1" t="s">
        <v>23</v>
      </c>
      <c r="D643" s="1" t="s">
        <v>27</v>
      </c>
      <c r="E643" s="1">
        <v>10</v>
      </c>
      <c r="F643" s="1">
        <v>4000</v>
      </c>
      <c r="G643" s="1">
        <v>40000</v>
      </c>
      <c r="H643" s="1">
        <v>6482</v>
      </c>
      <c r="I643" s="1" t="s">
        <v>15</v>
      </c>
      <c r="J643" s="1">
        <v>6</v>
      </c>
      <c r="K643" s="1" t="s">
        <v>16</v>
      </c>
      <c r="L643" s="1">
        <v>2</v>
      </c>
      <c r="M643" s="1" t="s">
        <v>17</v>
      </c>
      <c r="N643" s="5">
        <f>IF(Tabulka1[[#This Row],[E-shop]]="ano",1,0)</f>
        <v>0</v>
      </c>
      <c r="O643" s="5">
        <f>IF(Tabulka1[[#This Row],[Reklamace]]="ano",1,0)</f>
        <v>1</v>
      </c>
    </row>
    <row r="644" spans="1:15" ht="15.75" customHeight="1" x14ac:dyDescent="0.3">
      <c r="A644" s="1">
        <v>248</v>
      </c>
      <c r="B644" s="2">
        <v>45355</v>
      </c>
      <c r="C644" s="1" t="s">
        <v>21</v>
      </c>
      <c r="D644" s="1" t="s">
        <v>27</v>
      </c>
      <c r="E644" s="1">
        <v>10</v>
      </c>
      <c r="F644" s="1">
        <v>4000</v>
      </c>
      <c r="G644" s="1">
        <v>40000</v>
      </c>
      <c r="H644" s="1">
        <v>10929</v>
      </c>
      <c r="I644" s="1" t="s">
        <v>16</v>
      </c>
      <c r="J644" s="1">
        <v>9</v>
      </c>
      <c r="K644" s="1" t="s">
        <v>16</v>
      </c>
      <c r="L644" s="1">
        <v>1</v>
      </c>
      <c r="M644" s="1" t="s">
        <v>20</v>
      </c>
      <c r="N644" s="5">
        <f>IF(Tabulka1[[#This Row],[E-shop]]="ano",1,0)</f>
        <v>1</v>
      </c>
      <c r="O644" s="5">
        <f>IF(Tabulka1[[#This Row],[Reklamace]]="ano",1,0)</f>
        <v>1</v>
      </c>
    </row>
    <row r="645" spans="1:15" ht="15.75" customHeight="1" x14ac:dyDescent="0.3">
      <c r="A645" s="1">
        <v>252</v>
      </c>
      <c r="B645" s="2">
        <v>45690</v>
      </c>
      <c r="C645" s="1" t="s">
        <v>36</v>
      </c>
      <c r="D645" s="1" t="s">
        <v>27</v>
      </c>
      <c r="E645" s="1">
        <v>10</v>
      </c>
      <c r="F645" s="1">
        <v>4000</v>
      </c>
      <c r="G645" s="1">
        <v>40000</v>
      </c>
      <c r="H645" s="1">
        <v>9276</v>
      </c>
      <c r="I645" s="1" t="s">
        <v>15</v>
      </c>
      <c r="J645" s="1">
        <v>4</v>
      </c>
      <c r="K645" s="1" t="s">
        <v>15</v>
      </c>
      <c r="L645" s="1">
        <v>5</v>
      </c>
      <c r="M645" s="1" t="s">
        <v>20</v>
      </c>
      <c r="N645" s="5">
        <f>IF(Tabulka1[[#This Row],[E-shop]]="ano",1,0)</f>
        <v>0</v>
      </c>
      <c r="O645" s="5">
        <f>IF(Tabulka1[[#This Row],[Reklamace]]="ano",1,0)</f>
        <v>0</v>
      </c>
    </row>
    <row r="646" spans="1:15" ht="15.75" customHeight="1" x14ac:dyDescent="0.3">
      <c r="A646" s="1">
        <v>274</v>
      </c>
      <c r="B646" s="2">
        <v>45499</v>
      </c>
      <c r="C646" s="1" t="s">
        <v>36</v>
      </c>
      <c r="D646" s="1" t="s">
        <v>29</v>
      </c>
      <c r="E646" s="1">
        <v>2</v>
      </c>
      <c r="F646" s="1">
        <v>20000</v>
      </c>
      <c r="G646" s="1">
        <v>40000</v>
      </c>
      <c r="H646" s="1">
        <v>10485</v>
      </c>
      <c r="I646" s="1" t="s">
        <v>15</v>
      </c>
      <c r="J646" s="1">
        <v>5</v>
      </c>
      <c r="K646" s="1" t="s">
        <v>16</v>
      </c>
      <c r="L646" s="1">
        <v>4</v>
      </c>
      <c r="M646" s="1" t="s">
        <v>20</v>
      </c>
      <c r="N646" s="5">
        <f>IF(Tabulka1[[#This Row],[E-shop]]="ano",1,0)</f>
        <v>0</v>
      </c>
      <c r="O646" s="5">
        <f>IF(Tabulka1[[#This Row],[Reklamace]]="ano",1,0)</f>
        <v>1</v>
      </c>
    </row>
    <row r="647" spans="1:15" ht="15.75" customHeight="1" x14ac:dyDescent="0.3">
      <c r="A647" s="1">
        <v>325</v>
      </c>
      <c r="B647" s="2">
        <v>45726</v>
      </c>
      <c r="C647" s="1" t="s">
        <v>23</v>
      </c>
      <c r="D647" s="1" t="s">
        <v>30</v>
      </c>
      <c r="E647" s="1">
        <v>5</v>
      </c>
      <c r="F647" s="1">
        <v>8000</v>
      </c>
      <c r="G647" s="1">
        <v>40000</v>
      </c>
      <c r="H647" s="1">
        <v>11731</v>
      </c>
      <c r="I647" s="1" t="s">
        <v>15</v>
      </c>
      <c r="J647" s="1">
        <v>2</v>
      </c>
      <c r="K647" s="1" t="s">
        <v>15</v>
      </c>
      <c r="L647" s="1">
        <v>7</v>
      </c>
      <c r="M647" s="1" t="s">
        <v>20</v>
      </c>
      <c r="N647" s="5">
        <f>IF(Tabulka1[[#This Row],[E-shop]]="ano",1,0)</f>
        <v>0</v>
      </c>
      <c r="O647" s="5">
        <f>IF(Tabulka1[[#This Row],[Reklamace]]="ano",1,0)</f>
        <v>0</v>
      </c>
    </row>
    <row r="648" spans="1:15" ht="15.75" customHeight="1" x14ac:dyDescent="0.3">
      <c r="A648" s="1">
        <v>500</v>
      </c>
      <c r="B648" s="2">
        <v>45754</v>
      </c>
      <c r="C648" s="1" t="s">
        <v>13</v>
      </c>
      <c r="D648" s="1" t="s">
        <v>29</v>
      </c>
      <c r="E648" s="1">
        <v>2</v>
      </c>
      <c r="F648" s="1">
        <v>20000</v>
      </c>
      <c r="G648" s="1">
        <v>40000</v>
      </c>
      <c r="H648" s="1">
        <v>10577</v>
      </c>
      <c r="I648" s="1" t="s">
        <v>16</v>
      </c>
      <c r="J648" s="1">
        <v>5</v>
      </c>
      <c r="K648" s="1" t="s">
        <v>15</v>
      </c>
      <c r="L648" s="1">
        <v>5</v>
      </c>
      <c r="M648" s="1" t="s">
        <v>20</v>
      </c>
      <c r="N648" s="5">
        <f>IF(Tabulka1[[#This Row],[E-shop]]="ano",1,0)</f>
        <v>1</v>
      </c>
      <c r="O648" s="5">
        <f>IF(Tabulka1[[#This Row],[Reklamace]]="ano",1,0)</f>
        <v>0</v>
      </c>
    </row>
    <row r="649" spans="1:15" ht="15.75" customHeight="1" x14ac:dyDescent="0.3">
      <c r="A649" s="1">
        <v>584</v>
      </c>
      <c r="B649" s="2">
        <v>45488</v>
      </c>
      <c r="C649" s="1" t="s">
        <v>23</v>
      </c>
      <c r="D649" s="1" t="s">
        <v>29</v>
      </c>
      <c r="E649" s="1">
        <v>2</v>
      </c>
      <c r="F649" s="1">
        <v>20000</v>
      </c>
      <c r="G649" s="1">
        <v>40000</v>
      </c>
      <c r="H649" s="1">
        <v>10767</v>
      </c>
      <c r="I649" s="1" t="s">
        <v>15</v>
      </c>
      <c r="J649" s="1">
        <v>2</v>
      </c>
      <c r="K649" s="1" t="s">
        <v>15</v>
      </c>
      <c r="L649" s="1">
        <v>7</v>
      </c>
      <c r="M649" s="1" t="s">
        <v>20</v>
      </c>
      <c r="N649" s="5">
        <f>IF(Tabulka1[[#This Row],[E-shop]]="ano",1,0)</f>
        <v>0</v>
      </c>
      <c r="O649" s="5">
        <f>IF(Tabulka1[[#This Row],[Reklamace]]="ano",1,0)</f>
        <v>0</v>
      </c>
    </row>
    <row r="650" spans="1:15" ht="15.75" customHeight="1" x14ac:dyDescent="0.3">
      <c r="A650" s="1">
        <v>682</v>
      </c>
      <c r="B650" s="2">
        <v>45397</v>
      </c>
      <c r="C650" s="1" t="s">
        <v>36</v>
      </c>
      <c r="D650" s="1" t="s">
        <v>30</v>
      </c>
      <c r="E650" s="1">
        <v>5</v>
      </c>
      <c r="F650" s="1">
        <v>8000</v>
      </c>
      <c r="G650" s="1">
        <v>40000</v>
      </c>
      <c r="H650" s="1">
        <v>8877</v>
      </c>
      <c r="I650" s="1" t="s">
        <v>15</v>
      </c>
      <c r="J650" s="1">
        <v>8</v>
      </c>
      <c r="K650" s="1" t="s">
        <v>15</v>
      </c>
      <c r="L650" s="1">
        <v>1</v>
      </c>
      <c r="M650" s="1" t="s">
        <v>20</v>
      </c>
      <c r="N650" s="5">
        <f>IF(Tabulka1[[#This Row],[E-shop]]="ano",1,0)</f>
        <v>0</v>
      </c>
      <c r="O650" s="5">
        <f>IF(Tabulka1[[#This Row],[Reklamace]]="ano",1,0)</f>
        <v>0</v>
      </c>
    </row>
    <row r="651" spans="1:15" ht="15.75" customHeight="1" x14ac:dyDescent="0.3">
      <c r="A651" s="1">
        <v>805</v>
      </c>
      <c r="B651" s="2">
        <v>45904</v>
      </c>
      <c r="C651" s="1" t="s">
        <v>25</v>
      </c>
      <c r="D651" s="1" t="s">
        <v>29</v>
      </c>
      <c r="E651" s="1">
        <v>2</v>
      </c>
      <c r="F651" s="1">
        <v>20000</v>
      </c>
      <c r="G651" s="1">
        <v>40000</v>
      </c>
      <c r="H651" s="1">
        <v>6960</v>
      </c>
      <c r="I651" s="1" t="s">
        <v>15</v>
      </c>
      <c r="J651" s="1">
        <v>2</v>
      </c>
      <c r="K651" s="1" t="s">
        <v>15</v>
      </c>
      <c r="L651" s="1">
        <v>7</v>
      </c>
      <c r="M651" s="1" t="s">
        <v>20</v>
      </c>
      <c r="N651" s="5">
        <f>IF(Tabulka1[[#This Row],[E-shop]]="ano",1,0)</f>
        <v>0</v>
      </c>
      <c r="O651" s="5">
        <f>IF(Tabulka1[[#This Row],[Reklamace]]="ano",1,0)</f>
        <v>0</v>
      </c>
    </row>
    <row r="652" spans="1:15" ht="15.75" customHeight="1" x14ac:dyDescent="0.3">
      <c r="A652" s="1">
        <v>838</v>
      </c>
      <c r="B652" s="2">
        <v>45837</v>
      </c>
      <c r="C652" s="1" t="s">
        <v>13</v>
      </c>
      <c r="D652" s="1" t="s">
        <v>29</v>
      </c>
      <c r="E652" s="1">
        <v>2</v>
      </c>
      <c r="F652" s="1">
        <v>20000</v>
      </c>
      <c r="G652" s="1">
        <v>40000</v>
      </c>
      <c r="H652" s="1">
        <v>11897</v>
      </c>
      <c r="I652" s="1" t="s">
        <v>16</v>
      </c>
      <c r="J652" s="1">
        <v>6</v>
      </c>
      <c r="K652" s="1" t="s">
        <v>15</v>
      </c>
      <c r="L652" s="1">
        <v>5</v>
      </c>
      <c r="M652" s="1" t="s">
        <v>20</v>
      </c>
      <c r="N652" s="5">
        <f>IF(Tabulka1[[#This Row],[E-shop]]="ano",1,0)</f>
        <v>1</v>
      </c>
      <c r="O652" s="5">
        <f>IF(Tabulka1[[#This Row],[Reklamace]]="ano",1,0)</f>
        <v>0</v>
      </c>
    </row>
    <row r="653" spans="1:15" ht="15.75" customHeight="1" x14ac:dyDescent="0.3">
      <c r="A653" s="1">
        <v>908</v>
      </c>
      <c r="B653" s="2">
        <v>45395</v>
      </c>
      <c r="C653" s="1" t="s">
        <v>31</v>
      </c>
      <c r="D653" s="1" t="s">
        <v>41</v>
      </c>
      <c r="E653" s="1">
        <v>8</v>
      </c>
      <c r="F653" s="1">
        <v>5000</v>
      </c>
      <c r="G653" s="1">
        <v>40000</v>
      </c>
      <c r="H653" s="1">
        <v>9231</v>
      </c>
      <c r="I653" s="1" t="s">
        <v>15</v>
      </c>
      <c r="J653" s="1">
        <v>2</v>
      </c>
      <c r="K653" s="1" t="s">
        <v>15</v>
      </c>
      <c r="L653" s="1">
        <v>9</v>
      </c>
      <c r="M653" s="1" t="s">
        <v>20</v>
      </c>
      <c r="N653" s="5">
        <f>IF(Tabulka1[[#This Row],[E-shop]]="ano",1,0)</f>
        <v>0</v>
      </c>
      <c r="O653" s="5">
        <f>IF(Tabulka1[[#This Row],[Reklamace]]="ano",1,0)</f>
        <v>0</v>
      </c>
    </row>
    <row r="654" spans="1:15" ht="15.75" customHeight="1" x14ac:dyDescent="0.3">
      <c r="A654" s="1">
        <v>916</v>
      </c>
      <c r="B654" s="2">
        <v>45977</v>
      </c>
      <c r="C654" s="1" t="s">
        <v>18</v>
      </c>
      <c r="D654" s="1" t="s">
        <v>29</v>
      </c>
      <c r="E654" s="1">
        <v>2</v>
      </c>
      <c r="F654" s="1">
        <v>20000</v>
      </c>
      <c r="G654" s="1">
        <v>40000</v>
      </c>
      <c r="H654" s="1">
        <v>8081</v>
      </c>
      <c r="I654" s="1" t="s">
        <v>16</v>
      </c>
      <c r="J654" s="1">
        <v>3</v>
      </c>
      <c r="K654" s="1" t="s">
        <v>15</v>
      </c>
      <c r="L654" s="1">
        <v>6</v>
      </c>
      <c r="M654" s="1" t="s">
        <v>20</v>
      </c>
      <c r="N654" s="5">
        <f>IF(Tabulka1[[#This Row],[E-shop]]="ano",1,0)</f>
        <v>1</v>
      </c>
      <c r="O654" s="5">
        <f>IF(Tabulka1[[#This Row],[Reklamace]]="ano",1,0)</f>
        <v>0</v>
      </c>
    </row>
    <row r="655" spans="1:15" ht="15.75" customHeight="1" x14ac:dyDescent="0.3">
      <c r="A655" s="1">
        <v>949</v>
      </c>
      <c r="B655" s="2">
        <v>45664</v>
      </c>
      <c r="C655" s="1" t="s">
        <v>18</v>
      </c>
      <c r="D655" s="1" t="s">
        <v>30</v>
      </c>
      <c r="E655" s="1">
        <v>5</v>
      </c>
      <c r="F655" s="1">
        <v>8000</v>
      </c>
      <c r="G655" s="1">
        <v>40000</v>
      </c>
      <c r="H655" s="1">
        <v>6811</v>
      </c>
      <c r="I655" s="1" t="s">
        <v>15</v>
      </c>
      <c r="J655" s="1">
        <v>5</v>
      </c>
      <c r="K655" s="1" t="s">
        <v>16</v>
      </c>
      <c r="L655" s="1">
        <v>3</v>
      </c>
      <c r="M655" s="1" t="s">
        <v>20</v>
      </c>
      <c r="N655" s="5">
        <f>IF(Tabulka1[[#This Row],[E-shop]]="ano",1,0)</f>
        <v>0</v>
      </c>
      <c r="O655" s="5">
        <f>IF(Tabulka1[[#This Row],[Reklamace]]="ano",1,0)</f>
        <v>1</v>
      </c>
    </row>
    <row r="656" spans="1:15" ht="15.75" customHeight="1" x14ac:dyDescent="0.3">
      <c r="A656" s="1">
        <v>212</v>
      </c>
      <c r="B656" s="2">
        <v>45873</v>
      </c>
      <c r="C656" s="1" t="s">
        <v>18</v>
      </c>
      <c r="D656" s="1" t="s">
        <v>46</v>
      </c>
      <c r="E656" s="1">
        <v>13</v>
      </c>
      <c r="F656" s="1">
        <v>3000</v>
      </c>
      <c r="G656" s="1">
        <v>39000</v>
      </c>
      <c r="H656" s="1">
        <v>7116</v>
      </c>
      <c r="I656" s="1" t="s">
        <v>16</v>
      </c>
      <c r="J656" s="1">
        <v>7</v>
      </c>
      <c r="K656" s="1" t="s">
        <v>15</v>
      </c>
      <c r="L656" s="1">
        <v>1</v>
      </c>
      <c r="M656" s="1" t="s">
        <v>20</v>
      </c>
      <c r="N656" s="5">
        <f>IF(Tabulka1[[#This Row],[E-shop]]="ano",1,0)</f>
        <v>1</v>
      </c>
      <c r="O656" s="5">
        <f>IF(Tabulka1[[#This Row],[Reklamace]]="ano",1,0)</f>
        <v>0</v>
      </c>
    </row>
    <row r="657" spans="1:15" ht="15.75" customHeight="1" x14ac:dyDescent="0.3">
      <c r="A657" s="1">
        <v>466</v>
      </c>
      <c r="B657" s="2">
        <v>45684</v>
      </c>
      <c r="C657" s="1" t="s">
        <v>21</v>
      </c>
      <c r="D657" s="1" t="s">
        <v>46</v>
      </c>
      <c r="E657" s="1">
        <v>13</v>
      </c>
      <c r="F657" s="1">
        <v>3000</v>
      </c>
      <c r="G657" s="1">
        <v>39000</v>
      </c>
      <c r="H657" s="1">
        <v>11126</v>
      </c>
      <c r="I657" s="1" t="s">
        <v>15</v>
      </c>
      <c r="J657" s="1">
        <v>9</v>
      </c>
      <c r="K657" s="1" t="s">
        <v>16</v>
      </c>
      <c r="L657" s="1">
        <v>1</v>
      </c>
      <c r="M657" s="1" t="s">
        <v>20</v>
      </c>
      <c r="N657" s="5">
        <f>IF(Tabulka1[[#This Row],[E-shop]]="ano",1,0)</f>
        <v>0</v>
      </c>
      <c r="O657" s="5">
        <f>IF(Tabulka1[[#This Row],[Reklamace]]="ano",1,0)</f>
        <v>1</v>
      </c>
    </row>
    <row r="658" spans="1:15" ht="15.75" customHeight="1" x14ac:dyDescent="0.3">
      <c r="A658" s="1">
        <v>410</v>
      </c>
      <c r="B658" s="2">
        <v>45945</v>
      </c>
      <c r="C658" s="1" t="s">
        <v>25</v>
      </c>
      <c r="D658" s="1" t="s">
        <v>45</v>
      </c>
      <c r="E658" s="1">
        <v>11</v>
      </c>
      <c r="F658" s="1">
        <v>3500</v>
      </c>
      <c r="G658" s="1">
        <v>38500</v>
      </c>
      <c r="H658" s="1">
        <v>10688</v>
      </c>
      <c r="I658" s="1" t="s">
        <v>15</v>
      </c>
      <c r="J658" s="1">
        <v>6</v>
      </c>
      <c r="K658" s="1" t="s">
        <v>16</v>
      </c>
      <c r="L658" s="1">
        <v>3</v>
      </c>
      <c r="M658" s="1" t="s">
        <v>17</v>
      </c>
      <c r="N658" s="5">
        <f>IF(Tabulka1[[#This Row],[E-shop]]="ano",1,0)</f>
        <v>0</v>
      </c>
      <c r="O658" s="5">
        <f>IF(Tabulka1[[#This Row],[Reklamace]]="ano",1,0)</f>
        <v>1</v>
      </c>
    </row>
    <row r="659" spans="1:15" ht="15.75" customHeight="1" x14ac:dyDescent="0.3">
      <c r="A659" s="1">
        <v>470</v>
      </c>
      <c r="B659" s="2">
        <v>45416</v>
      </c>
      <c r="C659" s="1" t="s">
        <v>21</v>
      </c>
      <c r="D659" s="1" t="s">
        <v>45</v>
      </c>
      <c r="E659" s="1">
        <v>11</v>
      </c>
      <c r="F659" s="1">
        <v>3500</v>
      </c>
      <c r="G659" s="1">
        <v>38500</v>
      </c>
      <c r="H659" s="1">
        <v>9401</v>
      </c>
      <c r="I659" s="1" t="s">
        <v>15</v>
      </c>
      <c r="J659" s="1">
        <v>3</v>
      </c>
      <c r="K659" s="1" t="s">
        <v>15</v>
      </c>
      <c r="L659" s="1">
        <v>5</v>
      </c>
      <c r="M659" s="1" t="s">
        <v>17</v>
      </c>
      <c r="N659" s="5">
        <f>IF(Tabulka1[[#This Row],[E-shop]]="ano",1,0)</f>
        <v>0</v>
      </c>
      <c r="O659" s="5">
        <f>IF(Tabulka1[[#This Row],[Reklamace]]="ano",1,0)</f>
        <v>0</v>
      </c>
    </row>
    <row r="660" spans="1:15" ht="15.75" customHeight="1" x14ac:dyDescent="0.3">
      <c r="A660" s="1">
        <v>953</v>
      </c>
      <c r="B660" s="2">
        <v>45749</v>
      </c>
      <c r="C660" s="1" t="s">
        <v>31</v>
      </c>
      <c r="D660" s="1" t="s">
        <v>34</v>
      </c>
      <c r="E660" s="1">
        <v>11</v>
      </c>
      <c r="F660" s="1">
        <v>3500</v>
      </c>
      <c r="G660" s="1">
        <v>38500</v>
      </c>
      <c r="H660" s="1">
        <v>11350</v>
      </c>
      <c r="I660" s="1" t="s">
        <v>16</v>
      </c>
      <c r="J660" s="1">
        <v>8</v>
      </c>
      <c r="K660" s="1" t="s">
        <v>15</v>
      </c>
      <c r="L660" s="1">
        <v>1</v>
      </c>
      <c r="M660" s="1" t="s">
        <v>20</v>
      </c>
      <c r="N660" s="5">
        <f>IF(Tabulka1[[#This Row],[E-shop]]="ano",1,0)</f>
        <v>1</v>
      </c>
      <c r="O660" s="5">
        <f>IF(Tabulka1[[#This Row],[Reklamace]]="ano",1,0)</f>
        <v>0</v>
      </c>
    </row>
    <row r="661" spans="1:15" ht="15.75" customHeight="1" x14ac:dyDescent="0.3">
      <c r="A661" s="1">
        <v>1</v>
      </c>
      <c r="B661" s="2">
        <v>46006</v>
      </c>
      <c r="C661" s="1" t="s">
        <v>13</v>
      </c>
      <c r="D661" s="1" t="s">
        <v>14</v>
      </c>
      <c r="E661" s="1">
        <v>3</v>
      </c>
      <c r="F661" s="1">
        <v>12000</v>
      </c>
      <c r="G661" s="1">
        <v>36000</v>
      </c>
      <c r="H661" s="1">
        <v>9648</v>
      </c>
      <c r="I661" s="1" t="s">
        <v>15</v>
      </c>
      <c r="J661" s="1">
        <v>7</v>
      </c>
      <c r="K661" s="1" t="s">
        <v>16</v>
      </c>
      <c r="L661" s="1">
        <v>1</v>
      </c>
      <c r="M661" s="1" t="s">
        <v>17</v>
      </c>
      <c r="N661" s="5">
        <f>IF(Tabulka1[[#This Row],[E-shop]]="ano",1,0)</f>
        <v>0</v>
      </c>
      <c r="O661" s="5">
        <f>IF(Tabulka1[[#This Row],[Reklamace]]="ano",1,0)</f>
        <v>1</v>
      </c>
    </row>
    <row r="662" spans="1:15" ht="15.75" customHeight="1" x14ac:dyDescent="0.3">
      <c r="A662" s="1">
        <v>56</v>
      </c>
      <c r="B662" s="2">
        <v>45777</v>
      </c>
      <c r="C662" s="1" t="s">
        <v>36</v>
      </c>
      <c r="D662" s="1" t="s">
        <v>46</v>
      </c>
      <c r="E662" s="1">
        <v>12</v>
      </c>
      <c r="F662" s="1">
        <v>3000</v>
      </c>
      <c r="G662" s="1">
        <v>36000</v>
      </c>
      <c r="H662" s="1">
        <v>7731</v>
      </c>
      <c r="I662" s="1" t="s">
        <v>15</v>
      </c>
      <c r="J662" s="1">
        <v>3</v>
      </c>
      <c r="K662" s="1" t="s">
        <v>15</v>
      </c>
      <c r="L662" s="1">
        <v>6</v>
      </c>
      <c r="M662" s="1" t="s">
        <v>20</v>
      </c>
      <c r="N662" s="5">
        <f>IF(Tabulka1[[#This Row],[E-shop]]="ano",1,0)</f>
        <v>0</v>
      </c>
      <c r="O662" s="5">
        <f>IF(Tabulka1[[#This Row],[Reklamace]]="ano",1,0)</f>
        <v>0</v>
      </c>
    </row>
    <row r="663" spans="1:15" ht="15.75" customHeight="1" x14ac:dyDescent="0.3">
      <c r="A663" s="1">
        <v>74</v>
      </c>
      <c r="B663" s="2">
        <v>45954</v>
      </c>
      <c r="C663" s="1" t="s">
        <v>13</v>
      </c>
      <c r="D663" s="1" t="s">
        <v>28</v>
      </c>
      <c r="E663" s="1">
        <v>2</v>
      </c>
      <c r="F663" s="1">
        <v>18000</v>
      </c>
      <c r="G663" s="1">
        <v>36000</v>
      </c>
      <c r="H663" s="1">
        <v>9754</v>
      </c>
      <c r="I663" s="1" t="s">
        <v>16</v>
      </c>
      <c r="J663" s="1">
        <v>7</v>
      </c>
      <c r="K663" s="1" t="s">
        <v>15</v>
      </c>
      <c r="L663" s="1">
        <v>1</v>
      </c>
      <c r="M663" s="1" t="s">
        <v>20</v>
      </c>
      <c r="N663" s="5">
        <f>IF(Tabulka1[[#This Row],[E-shop]]="ano",1,0)</f>
        <v>1</v>
      </c>
      <c r="O663" s="5">
        <f>IF(Tabulka1[[#This Row],[Reklamace]]="ano",1,0)</f>
        <v>0</v>
      </c>
    </row>
    <row r="664" spans="1:15" ht="15.75" customHeight="1" x14ac:dyDescent="0.3">
      <c r="A664" s="1">
        <v>122</v>
      </c>
      <c r="B664" s="2">
        <v>45625</v>
      </c>
      <c r="C664" s="1" t="s">
        <v>23</v>
      </c>
      <c r="D664" s="1" t="s">
        <v>27</v>
      </c>
      <c r="E664" s="1">
        <v>9</v>
      </c>
      <c r="F664" s="1">
        <v>4000</v>
      </c>
      <c r="G664" s="1">
        <v>36000</v>
      </c>
      <c r="H664" s="1">
        <v>8966</v>
      </c>
      <c r="I664" s="1" t="s">
        <v>15</v>
      </c>
      <c r="J664" s="1">
        <v>2</v>
      </c>
      <c r="K664" s="1" t="s">
        <v>15</v>
      </c>
      <c r="L664" s="1">
        <v>8</v>
      </c>
      <c r="M664" s="1" t="s">
        <v>20</v>
      </c>
      <c r="N664" s="5">
        <f>IF(Tabulka1[[#This Row],[E-shop]]="ano",1,0)</f>
        <v>0</v>
      </c>
      <c r="O664" s="5">
        <f>IF(Tabulka1[[#This Row],[Reklamace]]="ano",1,0)</f>
        <v>0</v>
      </c>
    </row>
    <row r="665" spans="1:15" ht="15.75" customHeight="1" x14ac:dyDescent="0.3">
      <c r="A665" s="1">
        <v>185</v>
      </c>
      <c r="B665" s="2">
        <v>45631</v>
      </c>
      <c r="C665" s="1" t="s">
        <v>13</v>
      </c>
      <c r="D665" s="1" t="s">
        <v>35</v>
      </c>
      <c r="E665" s="1">
        <v>3</v>
      </c>
      <c r="F665" s="1">
        <v>12000</v>
      </c>
      <c r="G665" s="1">
        <v>36000</v>
      </c>
      <c r="H665" s="1">
        <v>9173</v>
      </c>
      <c r="I665" s="1" t="s">
        <v>16</v>
      </c>
      <c r="J665" s="1">
        <v>3</v>
      </c>
      <c r="K665" s="1" t="s">
        <v>15</v>
      </c>
      <c r="L665" s="1">
        <v>8</v>
      </c>
      <c r="M665" s="1" t="s">
        <v>20</v>
      </c>
      <c r="N665" s="5">
        <f>IF(Tabulka1[[#This Row],[E-shop]]="ano",1,0)</f>
        <v>1</v>
      </c>
      <c r="O665" s="5">
        <f>IF(Tabulka1[[#This Row],[Reklamace]]="ano",1,0)</f>
        <v>0</v>
      </c>
    </row>
    <row r="666" spans="1:15" ht="15.75" customHeight="1" x14ac:dyDescent="0.3">
      <c r="A666" s="1">
        <v>215</v>
      </c>
      <c r="B666" s="2">
        <v>45764</v>
      </c>
      <c r="C666" s="1" t="s">
        <v>25</v>
      </c>
      <c r="D666" s="1" t="s">
        <v>19</v>
      </c>
      <c r="E666" s="1">
        <v>4</v>
      </c>
      <c r="F666" s="1">
        <v>9000</v>
      </c>
      <c r="G666" s="1">
        <v>36000</v>
      </c>
      <c r="H666" s="1">
        <v>5524</v>
      </c>
      <c r="I666" s="1" t="s">
        <v>16</v>
      </c>
      <c r="J666" s="1">
        <v>4</v>
      </c>
      <c r="K666" s="1" t="s">
        <v>15</v>
      </c>
      <c r="L666" s="1">
        <v>7</v>
      </c>
      <c r="M666" s="1" t="s">
        <v>20</v>
      </c>
      <c r="N666" s="5">
        <f>IF(Tabulka1[[#This Row],[E-shop]]="ano",1,0)</f>
        <v>1</v>
      </c>
      <c r="O666" s="5">
        <f>IF(Tabulka1[[#This Row],[Reklamace]]="ano",1,0)</f>
        <v>0</v>
      </c>
    </row>
    <row r="667" spans="1:15" ht="15.75" customHeight="1" x14ac:dyDescent="0.3">
      <c r="A667" s="1">
        <v>261</v>
      </c>
      <c r="B667" s="2">
        <v>45890</v>
      </c>
      <c r="C667" s="1" t="s">
        <v>31</v>
      </c>
      <c r="D667" s="1" t="s">
        <v>14</v>
      </c>
      <c r="E667" s="1">
        <v>3</v>
      </c>
      <c r="F667" s="1">
        <v>12000</v>
      </c>
      <c r="G667" s="1">
        <v>36000</v>
      </c>
      <c r="H667" s="1">
        <v>5799</v>
      </c>
      <c r="I667" s="1" t="s">
        <v>15</v>
      </c>
      <c r="J667" s="1">
        <v>6</v>
      </c>
      <c r="K667" s="1" t="s">
        <v>16</v>
      </c>
      <c r="L667" s="1">
        <v>3</v>
      </c>
      <c r="M667" s="1" t="s">
        <v>20</v>
      </c>
      <c r="N667" s="5">
        <f>IF(Tabulka1[[#This Row],[E-shop]]="ano",1,0)</f>
        <v>0</v>
      </c>
      <c r="O667" s="5">
        <f>IF(Tabulka1[[#This Row],[Reklamace]]="ano",1,0)</f>
        <v>1</v>
      </c>
    </row>
    <row r="668" spans="1:15" ht="15.75" customHeight="1" x14ac:dyDescent="0.3">
      <c r="A668" s="1">
        <v>379</v>
      </c>
      <c r="B668" s="2">
        <v>45670</v>
      </c>
      <c r="C668" s="1" t="s">
        <v>25</v>
      </c>
      <c r="D668" s="1" t="s">
        <v>26</v>
      </c>
      <c r="E668" s="1">
        <v>3</v>
      </c>
      <c r="F668" s="1">
        <v>12000</v>
      </c>
      <c r="G668" s="1">
        <v>36000</v>
      </c>
      <c r="H668" s="1">
        <v>8441</v>
      </c>
      <c r="I668" s="1" t="s">
        <v>15</v>
      </c>
      <c r="J668" s="1">
        <v>3</v>
      </c>
      <c r="K668" s="1" t="s">
        <v>15</v>
      </c>
      <c r="L668" s="1">
        <v>7</v>
      </c>
      <c r="M668" s="1" t="s">
        <v>20</v>
      </c>
      <c r="N668" s="5">
        <f>IF(Tabulka1[[#This Row],[E-shop]]="ano",1,0)</f>
        <v>0</v>
      </c>
      <c r="O668" s="5">
        <f>IF(Tabulka1[[#This Row],[Reklamace]]="ano",1,0)</f>
        <v>0</v>
      </c>
    </row>
    <row r="669" spans="1:15" ht="15.75" customHeight="1" x14ac:dyDescent="0.3">
      <c r="A669" s="1">
        <v>420</v>
      </c>
      <c r="B669" s="2">
        <v>45834</v>
      </c>
      <c r="C669" s="1" t="s">
        <v>21</v>
      </c>
      <c r="D669" s="1" t="s">
        <v>33</v>
      </c>
      <c r="E669" s="1">
        <v>6</v>
      </c>
      <c r="F669" s="1">
        <v>6000</v>
      </c>
      <c r="G669" s="1">
        <v>36000</v>
      </c>
      <c r="H669" s="1">
        <v>10037</v>
      </c>
      <c r="I669" s="1" t="s">
        <v>15</v>
      </c>
      <c r="J669" s="1">
        <v>2</v>
      </c>
      <c r="K669" s="1" t="s">
        <v>15</v>
      </c>
      <c r="L669" s="1">
        <v>9</v>
      </c>
      <c r="M669" s="1" t="s">
        <v>20</v>
      </c>
      <c r="N669" s="5">
        <f>IF(Tabulka1[[#This Row],[E-shop]]="ano",1,0)</f>
        <v>0</v>
      </c>
      <c r="O669" s="5">
        <f>IF(Tabulka1[[#This Row],[Reklamace]]="ano",1,0)</f>
        <v>0</v>
      </c>
    </row>
    <row r="670" spans="1:15" ht="15.75" customHeight="1" x14ac:dyDescent="0.3">
      <c r="A670" s="1">
        <v>446</v>
      </c>
      <c r="B670" s="2">
        <v>45888</v>
      </c>
      <c r="C670" s="1" t="s">
        <v>36</v>
      </c>
      <c r="D670" s="1" t="s">
        <v>35</v>
      </c>
      <c r="E670" s="1">
        <v>3</v>
      </c>
      <c r="F670" s="1">
        <v>12000</v>
      </c>
      <c r="G670" s="1">
        <v>36000</v>
      </c>
      <c r="H670" s="1">
        <v>5782</v>
      </c>
      <c r="I670" s="1" t="s">
        <v>15</v>
      </c>
      <c r="J670" s="1">
        <v>6</v>
      </c>
      <c r="K670" s="1" t="s">
        <v>15</v>
      </c>
      <c r="L670" s="1">
        <v>4</v>
      </c>
      <c r="M670" s="1" t="s">
        <v>20</v>
      </c>
      <c r="N670" s="5">
        <f>IF(Tabulka1[[#This Row],[E-shop]]="ano",1,0)</f>
        <v>0</v>
      </c>
      <c r="O670" s="5">
        <f>IF(Tabulka1[[#This Row],[Reklamace]]="ano",1,0)</f>
        <v>0</v>
      </c>
    </row>
    <row r="671" spans="1:15" ht="15.75" customHeight="1" x14ac:dyDescent="0.3">
      <c r="A671" s="1">
        <v>484</v>
      </c>
      <c r="B671" s="2">
        <v>45851</v>
      </c>
      <c r="C671" s="1" t="s">
        <v>31</v>
      </c>
      <c r="D671" s="1" t="s">
        <v>26</v>
      </c>
      <c r="E671" s="1">
        <v>3</v>
      </c>
      <c r="F671" s="1">
        <v>12000</v>
      </c>
      <c r="G671" s="1">
        <v>36000</v>
      </c>
      <c r="H671" s="1">
        <v>10472</v>
      </c>
      <c r="I671" s="1" t="s">
        <v>15</v>
      </c>
      <c r="J671" s="1">
        <v>7</v>
      </c>
      <c r="K671" s="1" t="s">
        <v>16</v>
      </c>
      <c r="L671" s="1">
        <v>3</v>
      </c>
      <c r="M671" s="1" t="s">
        <v>20</v>
      </c>
      <c r="N671" s="5">
        <f>IF(Tabulka1[[#This Row],[E-shop]]="ano",1,0)</f>
        <v>0</v>
      </c>
      <c r="O671" s="5">
        <f>IF(Tabulka1[[#This Row],[Reklamace]]="ano",1,0)</f>
        <v>1</v>
      </c>
    </row>
    <row r="672" spans="1:15" ht="15.75" customHeight="1" x14ac:dyDescent="0.3">
      <c r="A672" s="1">
        <v>486</v>
      </c>
      <c r="B672" s="2">
        <v>45313</v>
      </c>
      <c r="C672" s="1" t="s">
        <v>18</v>
      </c>
      <c r="D672" s="1" t="s">
        <v>38</v>
      </c>
      <c r="E672" s="1">
        <v>4</v>
      </c>
      <c r="F672" s="1">
        <v>9000</v>
      </c>
      <c r="G672" s="1">
        <v>36000</v>
      </c>
      <c r="H672" s="1">
        <v>7735</v>
      </c>
      <c r="I672" s="1" t="s">
        <v>15</v>
      </c>
      <c r="J672" s="1">
        <v>7</v>
      </c>
      <c r="K672" s="1" t="s">
        <v>16</v>
      </c>
      <c r="L672" s="1">
        <v>1</v>
      </c>
      <c r="M672" s="1" t="s">
        <v>20</v>
      </c>
      <c r="N672" s="5">
        <f>IF(Tabulka1[[#This Row],[E-shop]]="ano",1,0)</f>
        <v>0</v>
      </c>
      <c r="O672" s="5">
        <f>IF(Tabulka1[[#This Row],[Reklamace]]="ano",1,0)</f>
        <v>1</v>
      </c>
    </row>
    <row r="673" spans="1:15" ht="15.75" customHeight="1" x14ac:dyDescent="0.3">
      <c r="A673" s="1">
        <v>569</v>
      </c>
      <c r="B673" s="2">
        <v>45375</v>
      </c>
      <c r="C673" s="1" t="s">
        <v>23</v>
      </c>
      <c r="D673" s="1" t="s">
        <v>27</v>
      </c>
      <c r="E673" s="1">
        <v>9</v>
      </c>
      <c r="F673" s="1">
        <v>4000</v>
      </c>
      <c r="G673" s="1">
        <v>36000</v>
      </c>
      <c r="H673" s="1">
        <v>8052</v>
      </c>
      <c r="I673" s="1" t="s">
        <v>16</v>
      </c>
      <c r="J673" s="1">
        <v>4</v>
      </c>
      <c r="K673" s="1" t="s">
        <v>15</v>
      </c>
      <c r="L673" s="1">
        <v>6</v>
      </c>
      <c r="M673" s="1" t="s">
        <v>17</v>
      </c>
      <c r="N673" s="5">
        <f>IF(Tabulka1[[#This Row],[E-shop]]="ano",1,0)</f>
        <v>1</v>
      </c>
      <c r="O673" s="5">
        <f>IF(Tabulka1[[#This Row],[Reklamace]]="ano",1,0)</f>
        <v>0</v>
      </c>
    </row>
    <row r="674" spans="1:15" ht="15.75" customHeight="1" x14ac:dyDescent="0.3">
      <c r="A674" s="1">
        <v>633</v>
      </c>
      <c r="B674" s="2">
        <v>45505</v>
      </c>
      <c r="C674" s="1" t="s">
        <v>36</v>
      </c>
      <c r="D674" s="1" t="s">
        <v>26</v>
      </c>
      <c r="E674" s="1">
        <v>3</v>
      </c>
      <c r="F674" s="1">
        <v>12000</v>
      </c>
      <c r="G674" s="1">
        <v>36000</v>
      </c>
      <c r="H674" s="1">
        <v>7148</v>
      </c>
      <c r="I674" s="1" t="s">
        <v>16</v>
      </c>
      <c r="J674" s="1">
        <v>6</v>
      </c>
      <c r="K674" s="1" t="s">
        <v>15</v>
      </c>
      <c r="L674" s="1">
        <v>2</v>
      </c>
      <c r="M674" s="1" t="s">
        <v>20</v>
      </c>
      <c r="N674" s="5">
        <f>IF(Tabulka1[[#This Row],[E-shop]]="ano",1,0)</f>
        <v>1</v>
      </c>
      <c r="O674" s="5">
        <f>IF(Tabulka1[[#This Row],[Reklamace]]="ano",1,0)</f>
        <v>0</v>
      </c>
    </row>
    <row r="675" spans="1:15" ht="15.75" customHeight="1" x14ac:dyDescent="0.3">
      <c r="A675" s="1">
        <v>695</v>
      </c>
      <c r="B675" s="2">
        <v>45512</v>
      </c>
      <c r="C675" s="1" t="s">
        <v>25</v>
      </c>
      <c r="D675" s="1" t="s">
        <v>46</v>
      </c>
      <c r="E675" s="1">
        <v>12</v>
      </c>
      <c r="F675" s="1">
        <v>3000</v>
      </c>
      <c r="G675" s="1">
        <v>36000</v>
      </c>
      <c r="H675" s="1">
        <v>8844</v>
      </c>
      <c r="I675" s="1" t="s">
        <v>15</v>
      </c>
      <c r="J675" s="1">
        <v>6</v>
      </c>
      <c r="K675" s="1" t="s">
        <v>16</v>
      </c>
      <c r="L675" s="1">
        <v>4</v>
      </c>
      <c r="M675" s="1" t="s">
        <v>20</v>
      </c>
      <c r="N675" s="5">
        <f>IF(Tabulka1[[#This Row],[E-shop]]="ano",1,0)</f>
        <v>0</v>
      </c>
      <c r="O675" s="5">
        <f>IF(Tabulka1[[#This Row],[Reklamace]]="ano",1,0)</f>
        <v>1</v>
      </c>
    </row>
    <row r="676" spans="1:15" ht="15.75" customHeight="1" x14ac:dyDescent="0.3">
      <c r="A676" s="1">
        <v>697</v>
      </c>
      <c r="B676" s="2">
        <v>45448</v>
      </c>
      <c r="C676" s="1" t="s">
        <v>13</v>
      </c>
      <c r="D676" s="1" t="s">
        <v>28</v>
      </c>
      <c r="E676" s="1">
        <v>2</v>
      </c>
      <c r="F676" s="1">
        <v>18000</v>
      </c>
      <c r="G676" s="1">
        <v>36000</v>
      </c>
      <c r="H676" s="1">
        <v>5815</v>
      </c>
      <c r="I676" s="1" t="s">
        <v>15</v>
      </c>
      <c r="J676" s="1">
        <v>2</v>
      </c>
      <c r="K676" s="1" t="s">
        <v>15</v>
      </c>
      <c r="L676" s="1">
        <v>9</v>
      </c>
      <c r="M676" s="1" t="s">
        <v>20</v>
      </c>
      <c r="N676" s="5">
        <f>IF(Tabulka1[[#This Row],[E-shop]]="ano",1,0)</f>
        <v>0</v>
      </c>
      <c r="O676" s="5">
        <f>IF(Tabulka1[[#This Row],[Reklamace]]="ano",1,0)</f>
        <v>0</v>
      </c>
    </row>
    <row r="677" spans="1:15" ht="15.75" customHeight="1" x14ac:dyDescent="0.3">
      <c r="A677" s="1">
        <v>702</v>
      </c>
      <c r="B677" s="2">
        <v>45575</v>
      </c>
      <c r="C677" s="1" t="s">
        <v>18</v>
      </c>
      <c r="D677" s="1" t="s">
        <v>14</v>
      </c>
      <c r="E677" s="1">
        <v>3</v>
      </c>
      <c r="F677" s="1">
        <v>12000</v>
      </c>
      <c r="G677" s="1">
        <v>36000</v>
      </c>
      <c r="H677" s="1">
        <v>5815</v>
      </c>
      <c r="I677" s="1" t="s">
        <v>15</v>
      </c>
      <c r="J677" s="1">
        <v>3</v>
      </c>
      <c r="K677" s="1" t="s">
        <v>15</v>
      </c>
      <c r="L677" s="1">
        <v>7</v>
      </c>
      <c r="M677" s="1" t="s">
        <v>17</v>
      </c>
      <c r="N677" s="5">
        <f>IF(Tabulka1[[#This Row],[E-shop]]="ano",1,0)</f>
        <v>0</v>
      </c>
      <c r="O677" s="5">
        <f>IF(Tabulka1[[#This Row],[Reklamace]]="ano",1,0)</f>
        <v>0</v>
      </c>
    </row>
    <row r="678" spans="1:15" ht="15.75" customHeight="1" x14ac:dyDescent="0.3">
      <c r="A678" s="1">
        <v>704</v>
      </c>
      <c r="B678" s="2">
        <v>45857</v>
      </c>
      <c r="C678" s="1" t="s">
        <v>36</v>
      </c>
      <c r="D678" s="1" t="s">
        <v>14</v>
      </c>
      <c r="E678" s="1">
        <v>3</v>
      </c>
      <c r="F678" s="1">
        <v>12000</v>
      </c>
      <c r="G678" s="1">
        <v>36000</v>
      </c>
      <c r="H678" s="1">
        <v>9406</v>
      </c>
      <c r="I678" s="1" t="s">
        <v>15</v>
      </c>
      <c r="J678" s="1">
        <v>2</v>
      </c>
      <c r="K678" s="1" t="s">
        <v>15</v>
      </c>
      <c r="L678" s="1">
        <v>9</v>
      </c>
      <c r="M678" s="1" t="s">
        <v>17</v>
      </c>
      <c r="N678" s="5">
        <f>IF(Tabulka1[[#This Row],[E-shop]]="ano",1,0)</f>
        <v>0</v>
      </c>
      <c r="O678" s="5">
        <f>IF(Tabulka1[[#This Row],[Reklamace]]="ano",1,0)</f>
        <v>0</v>
      </c>
    </row>
    <row r="679" spans="1:15" ht="15.75" customHeight="1" x14ac:dyDescent="0.3">
      <c r="A679" s="1">
        <v>707</v>
      </c>
      <c r="B679" s="2">
        <v>45629</v>
      </c>
      <c r="C679" s="1" t="s">
        <v>25</v>
      </c>
      <c r="D679" s="1" t="s">
        <v>38</v>
      </c>
      <c r="E679" s="1">
        <v>4</v>
      </c>
      <c r="F679" s="1">
        <v>9000</v>
      </c>
      <c r="G679" s="1">
        <v>36000</v>
      </c>
      <c r="H679" s="1">
        <v>8272</v>
      </c>
      <c r="I679" s="1" t="s">
        <v>16</v>
      </c>
      <c r="J679" s="1">
        <v>7</v>
      </c>
      <c r="K679" s="1" t="s">
        <v>16</v>
      </c>
      <c r="L679" s="1">
        <v>1</v>
      </c>
      <c r="M679" s="1" t="s">
        <v>17</v>
      </c>
      <c r="N679" s="5">
        <f>IF(Tabulka1[[#This Row],[E-shop]]="ano",1,0)</f>
        <v>1</v>
      </c>
      <c r="O679" s="5">
        <f>IF(Tabulka1[[#This Row],[Reklamace]]="ano",1,0)</f>
        <v>1</v>
      </c>
    </row>
    <row r="680" spans="1:15" ht="15.75" customHeight="1" x14ac:dyDescent="0.3">
      <c r="A680" s="1">
        <v>720</v>
      </c>
      <c r="B680" s="2">
        <v>45330</v>
      </c>
      <c r="C680" s="1" t="s">
        <v>21</v>
      </c>
      <c r="D680" s="1" t="s">
        <v>38</v>
      </c>
      <c r="E680" s="1">
        <v>4</v>
      </c>
      <c r="F680" s="1">
        <v>9000</v>
      </c>
      <c r="G680" s="1">
        <v>36000</v>
      </c>
      <c r="H680" s="1">
        <v>9381</v>
      </c>
      <c r="I680" s="1" t="s">
        <v>16</v>
      </c>
      <c r="J680" s="1">
        <v>4</v>
      </c>
      <c r="K680" s="1" t="s">
        <v>15</v>
      </c>
      <c r="L680" s="1">
        <v>4</v>
      </c>
      <c r="M680" s="1" t="s">
        <v>20</v>
      </c>
      <c r="N680" s="5">
        <f>IF(Tabulka1[[#This Row],[E-shop]]="ano",1,0)</f>
        <v>1</v>
      </c>
      <c r="O680" s="5">
        <f>IF(Tabulka1[[#This Row],[Reklamace]]="ano",1,0)</f>
        <v>0</v>
      </c>
    </row>
    <row r="681" spans="1:15" ht="15.75" customHeight="1" x14ac:dyDescent="0.3">
      <c r="A681" s="1">
        <v>739</v>
      </c>
      <c r="B681" s="2">
        <v>45495</v>
      </c>
      <c r="C681" s="1" t="s">
        <v>23</v>
      </c>
      <c r="D681" s="1" t="s">
        <v>38</v>
      </c>
      <c r="E681" s="1">
        <v>4</v>
      </c>
      <c r="F681" s="1">
        <v>9000</v>
      </c>
      <c r="G681" s="1">
        <v>36000</v>
      </c>
      <c r="H681" s="1">
        <v>9052</v>
      </c>
      <c r="I681" s="1" t="s">
        <v>15</v>
      </c>
      <c r="J681" s="1">
        <v>1</v>
      </c>
      <c r="K681" s="1" t="s">
        <v>15</v>
      </c>
      <c r="L681" s="1">
        <v>10</v>
      </c>
      <c r="M681" s="1" t="s">
        <v>20</v>
      </c>
      <c r="N681" s="5">
        <f>IF(Tabulka1[[#This Row],[E-shop]]="ano",1,0)</f>
        <v>0</v>
      </c>
      <c r="O681" s="5">
        <f>IF(Tabulka1[[#This Row],[Reklamace]]="ano",1,0)</f>
        <v>0</v>
      </c>
    </row>
    <row r="682" spans="1:15" ht="15.75" customHeight="1" x14ac:dyDescent="0.3">
      <c r="A682" s="1">
        <v>741</v>
      </c>
      <c r="B682" s="2">
        <v>45298</v>
      </c>
      <c r="C682" s="1" t="s">
        <v>23</v>
      </c>
      <c r="D682" s="1" t="s">
        <v>38</v>
      </c>
      <c r="E682" s="1">
        <v>4</v>
      </c>
      <c r="F682" s="1">
        <v>9000</v>
      </c>
      <c r="G682" s="1">
        <v>36000</v>
      </c>
      <c r="H682" s="1">
        <v>9565</v>
      </c>
      <c r="I682" s="1" t="s">
        <v>15</v>
      </c>
      <c r="J682" s="1">
        <v>1</v>
      </c>
      <c r="K682" s="1" t="s">
        <v>15</v>
      </c>
      <c r="L682" s="1">
        <v>7</v>
      </c>
      <c r="M682" s="1" t="s">
        <v>17</v>
      </c>
      <c r="N682" s="5">
        <f>IF(Tabulka1[[#This Row],[E-shop]]="ano",1,0)</f>
        <v>0</v>
      </c>
      <c r="O682" s="5">
        <f>IF(Tabulka1[[#This Row],[Reklamace]]="ano",1,0)</f>
        <v>0</v>
      </c>
    </row>
    <row r="683" spans="1:15" ht="15.75" customHeight="1" x14ac:dyDescent="0.3">
      <c r="A683" s="1">
        <v>761</v>
      </c>
      <c r="B683" s="2">
        <v>45388</v>
      </c>
      <c r="C683" s="1" t="s">
        <v>25</v>
      </c>
      <c r="D683" s="1" t="s">
        <v>28</v>
      </c>
      <c r="E683" s="1">
        <v>2</v>
      </c>
      <c r="F683" s="1">
        <v>18000</v>
      </c>
      <c r="G683" s="1">
        <v>36000</v>
      </c>
      <c r="H683" s="1">
        <v>6053</v>
      </c>
      <c r="I683" s="1" t="s">
        <v>15</v>
      </c>
      <c r="J683" s="1">
        <v>3</v>
      </c>
      <c r="K683" s="1" t="s">
        <v>15</v>
      </c>
      <c r="L683" s="1">
        <v>7</v>
      </c>
      <c r="M683" s="1" t="s">
        <v>20</v>
      </c>
      <c r="N683" s="5">
        <f>IF(Tabulka1[[#This Row],[E-shop]]="ano",1,0)</f>
        <v>0</v>
      </c>
      <c r="O683" s="5">
        <f>IF(Tabulka1[[#This Row],[Reklamace]]="ano",1,0)</f>
        <v>0</v>
      </c>
    </row>
    <row r="684" spans="1:15" ht="15.75" customHeight="1" x14ac:dyDescent="0.3">
      <c r="A684" s="1">
        <v>807</v>
      </c>
      <c r="B684" s="2">
        <v>45877</v>
      </c>
      <c r="C684" s="1" t="s">
        <v>25</v>
      </c>
      <c r="D684" s="1" t="s">
        <v>46</v>
      </c>
      <c r="E684" s="1">
        <v>12</v>
      </c>
      <c r="F684" s="1">
        <v>3000</v>
      </c>
      <c r="G684" s="1">
        <v>36000</v>
      </c>
      <c r="H684" s="1">
        <v>8646</v>
      </c>
      <c r="I684" s="1" t="s">
        <v>15</v>
      </c>
      <c r="J684" s="1">
        <v>4</v>
      </c>
      <c r="K684" s="1" t="s">
        <v>15</v>
      </c>
      <c r="L684" s="1">
        <v>4</v>
      </c>
      <c r="M684" s="1" t="s">
        <v>20</v>
      </c>
      <c r="N684" s="5">
        <f>IF(Tabulka1[[#This Row],[E-shop]]="ano",1,0)</f>
        <v>0</v>
      </c>
      <c r="O684" s="5">
        <f>IF(Tabulka1[[#This Row],[Reklamace]]="ano",1,0)</f>
        <v>0</v>
      </c>
    </row>
    <row r="685" spans="1:15" ht="15.75" customHeight="1" x14ac:dyDescent="0.3">
      <c r="A685" s="1">
        <v>841</v>
      </c>
      <c r="B685" s="2">
        <v>45960</v>
      </c>
      <c r="C685" s="1" t="s">
        <v>36</v>
      </c>
      <c r="D685" s="1" t="s">
        <v>27</v>
      </c>
      <c r="E685" s="1">
        <v>9</v>
      </c>
      <c r="F685" s="1">
        <v>4000</v>
      </c>
      <c r="G685" s="1">
        <v>36000</v>
      </c>
      <c r="H685" s="1">
        <v>10795</v>
      </c>
      <c r="I685" s="1" t="s">
        <v>16</v>
      </c>
      <c r="J685" s="1">
        <v>8</v>
      </c>
      <c r="K685" s="1" t="s">
        <v>15</v>
      </c>
      <c r="L685" s="1">
        <v>1</v>
      </c>
      <c r="M685" s="1" t="s">
        <v>20</v>
      </c>
      <c r="N685" s="5">
        <f>IF(Tabulka1[[#This Row],[E-shop]]="ano",1,0)</f>
        <v>1</v>
      </c>
      <c r="O685" s="5">
        <f>IF(Tabulka1[[#This Row],[Reklamace]]="ano",1,0)</f>
        <v>0</v>
      </c>
    </row>
    <row r="686" spans="1:15" ht="15.75" customHeight="1" x14ac:dyDescent="0.3">
      <c r="A686" s="1">
        <v>850</v>
      </c>
      <c r="B686" s="2">
        <v>45333</v>
      </c>
      <c r="C686" s="1" t="s">
        <v>31</v>
      </c>
      <c r="D686" s="1" t="s">
        <v>14</v>
      </c>
      <c r="E686" s="1">
        <v>3</v>
      </c>
      <c r="F686" s="1">
        <v>12000</v>
      </c>
      <c r="G686" s="1">
        <v>36000</v>
      </c>
      <c r="H686" s="1">
        <v>9883</v>
      </c>
      <c r="I686" s="1" t="s">
        <v>15</v>
      </c>
      <c r="J686" s="1">
        <v>5</v>
      </c>
      <c r="K686" s="1" t="s">
        <v>16</v>
      </c>
      <c r="L686" s="1">
        <v>4</v>
      </c>
      <c r="M686" s="1" t="s">
        <v>20</v>
      </c>
      <c r="N686" s="5">
        <f>IF(Tabulka1[[#This Row],[E-shop]]="ano",1,0)</f>
        <v>0</v>
      </c>
      <c r="O686" s="5">
        <f>IF(Tabulka1[[#This Row],[Reklamace]]="ano",1,0)</f>
        <v>1</v>
      </c>
    </row>
    <row r="687" spans="1:15" ht="15.75" customHeight="1" x14ac:dyDescent="0.3">
      <c r="A687" s="1">
        <v>858</v>
      </c>
      <c r="B687" s="2">
        <v>45968</v>
      </c>
      <c r="C687" s="1" t="s">
        <v>36</v>
      </c>
      <c r="D687" s="1" t="s">
        <v>35</v>
      </c>
      <c r="E687" s="1">
        <v>3</v>
      </c>
      <c r="F687" s="1">
        <v>12000</v>
      </c>
      <c r="G687" s="1">
        <v>36000</v>
      </c>
      <c r="H687" s="1">
        <v>5905</v>
      </c>
      <c r="I687" s="1" t="s">
        <v>15</v>
      </c>
      <c r="J687" s="1">
        <v>3</v>
      </c>
      <c r="K687" s="1" t="s">
        <v>15</v>
      </c>
      <c r="L687" s="1">
        <v>6</v>
      </c>
      <c r="M687" s="1" t="s">
        <v>20</v>
      </c>
      <c r="N687" s="5">
        <f>IF(Tabulka1[[#This Row],[E-shop]]="ano",1,0)</f>
        <v>0</v>
      </c>
      <c r="O687" s="5">
        <f>IF(Tabulka1[[#This Row],[Reklamace]]="ano",1,0)</f>
        <v>0</v>
      </c>
    </row>
    <row r="688" spans="1:15" ht="15.75" customHeight="1" x14ac:dyDescent="0.3">
      <c r="A688" s="1">
        <v>880</v>
      </c>
      <c r="B688" s="2">
        <v>45779</v>
      </c>
      <c r="C688" s="1" t="s">
        <v>31</v>
      </c>
      <c r="D688" s="1" t="s">
        <v>33</v>
      </c>
      <c r="E688" s="1">
        <v>6</v>
      </c>
      <c r="F688" s="1">
        <v>6000</v>
      </c>
      <c r="G688" s="1">
        <v>36000</v>
      </c>
      <c r="H688" s="1">
        <v>6050</v>
      </c>
      <c r="I688" s="1" t="s">
        <v>15</v>
      </c>
      <c r="J688" s="1">
        <v>5</v>
      </c>
      <c r="K688" s="1" t="s">
        <v>15</v>
      </c>
      <c r="L688" s="1">
        <v>5</v>
      </c>
      <c r="M688" s="1" t="s">
        <v>20</v>
      </c>
      <c r="N688" s="5">
        <f>IF(Tabulka1[[#This Row],[E-shop]]="ano",1,0)</f>
        <v>0</v>
      </c>
      <c r="O688" s="5">
        <f>IF(Tabulka1[[#This Row],[Reklamace]]="ano",1,0)</f>
        <v>0</v>
      </c>
    </row>
    <row r="689" spans="1:15" ht="15.75" customHeight="1" x14ac:dyDescent="0.3">
      <c r="A689" s="1">
        <v>896</v>
      </c>
      <c r="B689" s="2">
        <v>45390</v>
      </c>
      <c r="C689" s="1" t="s">
        <v>13</v>
      </c>
      <c r="D689" s="1" t="s">
        <v>14</v>
      </c>
      <c r="E689" s="1">
        <v>3</v>
      </c>
      <c r="F689" s="1">
        <v>12000</v>
      </c>
      <c r="G689" s="1">
        <v>36000</v>
      </c>
      <c r="H689" s="1">
        <v>10468</v>
      </c>
      <c r="I689" s="1" t="s">
        <v>15</v>
      </c>
      <c r="J689" s="1">
        <v>1</v>
      </c>
      <c r="K689" s="1" t="s">
        <v>15</v>
      </c>
      <c r="L689" s="1">
        <v>7</v>
      </c>
      <c r="M689" s="1" t="s">
        <v>20</v>
      </c>
      <c r="N689" s="5">
        <f>IF(Tabulka1[[#This Row],[E-shop]]="ano",1,0)</f>
        <v>0</v>
      </c>
      <c r="O689" s="5">
        <f>IF(Tabulka1[[#This Row],[Reklamace]]="ano",1,0)</f>
        <v>0</v>
      </c>
    </row>
    <row r="690" spans="1:15" ht="15.75" customHeight="1" x14ac:dyDescent="0.3">
      <c r="A690" s="1">
        <v>987</v>
      </c>
      <c r="B690" s="2">
        <v>45722</v>
      </c>
      <c r="C690" s="1" t="s">
        <v>13</v>
      </c>
      <c r="D690" s="1" t="s">
        <v>46</v>
      </c>
      <c r="E690" s="1">
        <v>12</v>
      </c>
      <c r="F690" s="1">
        <v>3000</v>
      </c>
      <c r="G690" s="1">
        <v>36000</v>
      </c>
      <c r="H690" s="1">
        <v>6263</v>
      </c>
      <c r="I690" s="1" t="s">
        <v>16</v>
      </c>
      <c r="J690" s="1">
        <v>9</v>
      </c>
      <c r="K690" s="1" t="s">
        <v>16</v>
      </c>
      <c r="L690" s="1">
        <v>1</v>
      </c>
      <c r="M690" s="1" t="s">
        <v>20</v>
      </c>
      <c r="N690" s="5">
        <f>IF(Tabulka1[[#This Row],[E-shop]]="ano",1,0)</f>
        <v>1</v>
      </c>
      <c r="O690" s="5">
        <f>IF(Tabulka1[[#This Row],[Reklamace]]="ano",1,0)</f>
        <v>1</v>
      </c>
    </row>
    <row r="691" spans="1:15" ht="15.75" customHeight="1" x14ac:dyDescent="0.3">
      <c r="A691" s="1">
        <v>22</v>
      </c>
      <c r="B691" s="2">
        <v>45483</v>
      </c>
      <c r="C691" s="1" t="s">
        <v>18</v>
      </c>
      <c r="D691" s="1" t="s">
        <v>37</v>
      </c>
      <c r="E691" s="1">
        <v>5</v>
      </c>
      <c r="F691" s="1">
        <v>7000</v>
      </c>
      <c r="G691" s="1">
        <v>35000</v>
      </c>
      <c r="H691" s="1">
        <v>5748</v>
      </c>
      <c r="I691" s="1" t="s">
        <v>15</v>
      </c>
      <c r="J691" s="1">
        <v>4</v>
      </c>
      <c r="K691" s="1" t="s">
        <v>15</v>
      </c>
      <c r="L691" s="1">
        <v>6</v>
      </c>
      <c r="M691" s="1" t="s">
        <v>20</v>
      </c>
      <c r="N691" s="5">
        <f>IF(Tabulka1[[#This Row],[E-shop]]="ano",1,0)</f>
        <v>0</v>
      </c>
      <c r="O691" s="5">
        <f>IF(Tabulka1[[#This Row],[Reklamace]]="ano",1,0)</f>
        <v>0</v>
      </c>
    </row>
    <row r="692" spans="1:15" ht="15.75" customHeight="1" x14ac:dyDescent="0.3">
      <c r="A692" s="1">
        <v>27</v>
      </c>
      <c r="B692" s="2">
        <v>45721</v>
      </c>
      <c r="C692" s="1" t="s">
        <v>31</v>
      </c>
      <c r="D692" s="1" t="s">
        <v>34</v>
      </c>
      <c r="E692" s="1">
        <v>10</v>
      </c>
      <c r="F692" s="1">
        <v>3500</v>
      </c>
      <c r="G692" s="1">
        <v>35000</v>
      </c>
      <c r="H692" s="1">
        <v>9452</v>
      </c>
      <c r="I692" s="1" t="s">
        <v>15</v>
      </c>
      <c r="J692" s="1">
        <v>7</v>
      </c>
      <c r="K692" s="1" t="s">
        <v>16</v>
      </c>
      <c r="L692" s="1">
        <v>4</v>
      </c>
      <c r="M692" s="1" t="s">
        <v>17</v>
      </c>
      <c r="N692" s="5">
        <f>IF(Tabulka1[[#This Row],[E-shop]]="ano",1,0)</f>
        <v>0</v>
      </c>
      <c r="O692" s="5">
        <f>IF(Tabulka1[[#This Row],[Reklamace]]="ano",1,0)</f>
        <v>1</v>
      </c>
    </row>
    <row r="693" spans="1:15" ht="15.75" customHeight="1" x14ac:dyDescent="0.3">
      <c r="A693" s="1">
        <v>32</v>
      </c>
      <c r="B693" s="2">
        <v>45804</v>
      </c>
      <c r="C693" s="1" t="s">
        <v>23</v>
      </c>
      <c r="D693" s="1" t="s">
        <v>24</v>
      </c>
      <c r="E693" s="1">
        <v>5</v>
      </c>
      <c r="F693" s="1">
        <v>7000</v>
      </c>
      <c r="G693" s="1">
        <v>35000</v>
      </c>
      <c r="H693" s="1">
        <v>8371</v>
      </c>
      <c r="I693" s="1" t="s">
        <v>15</v>
      </c>
      <c r="J693" s="1">
        <v>3</v>
      </c>
      <c r="K693" s="1" t="s">
        <v>15</v>
      </c>
      <c r="L693" s="1">
        <v>7</v>
      </c>
      <c r="M693" s="1" t="s">
        <v>20</v>
      </c>
      <c r="N693" s="5">
        <f>IF(Tabulka1[[#This Row],[E-shop]]="ano",1,0)</f>
        <v>0</v>
      </c>
      <c r="O693" s="5">
        <f>IF(Tabulka1[[#This Row],[Reklamace]]="ano",1,0)</f>
        <v>0</v>
      </c>
    </row>
    <row r="694" spans="1:15" ht="15.75" customHeight="1" x14ac:dyDescent="0.3">
      <c r="A694" s="1">
        <v>33</v>
      </c>
      <c r="B694" s="2">
        <v>45986</v>
      </c>
      <c r="C694" s="1" t="s">
        <v>21</v>
      </c>
      <c r="D694" s="1" t="s">
        <v>37</v>
      </c>
      <c r="E694" s="1">
        <v>5</v>
      </c>
      <c r="F694" s="1">
        <v>7000</v>
      </c>
      <c r="G694" s="1">
        <v>35000</v>
      </c>
      <c r="H694" s="1">
        <v>10449</v>
      </c>
      <c r="I694" s="1" t="s">
        <v>15</v>
      </c>
      <c r="J694" s="1">
        <v>4</v>
      </c>
      <c r="K694" s="1" t="s">
        <v>15</v>
      </c>
      <c r="L694" s="1">
        <v>6</v>
      </c>
      <c r="M694" s="1" t="s">
        <v>20</v>
      </c>
      <c r="N694" s="5">
        <f>IF(Tabulka1[[#This Row],[E-shop]]="ano",1,0)</f>
        <v>0</v>
      </c>
      <c r="O694" s="5">
        <f>IF(Tabulka1[[#This Row],[Reklamace]]="ano",1,0)</f>
        <v>0</v>
      </c>
    </row>
    <row r="695" spans="1:15" ht="15.75" customHeight="1" x14ac:dyDescent="0.3">
      <c r="A695" s="1">
        <v>99</v>
      </c>
      <c r="B695" s="2">
        <v>45920</v>
      </c>
      <c r="C695" s="1" t="s">
        <v>18</v>
      </c>
      <c r="D695" s="1" t="s">
        <v>34</v>
      </c>
      <c r="E695" s="1">
        <v>10</v>
      </c>
      <c r="F695" s="1">
        <v>3500</v>
      </c>
      <c r="G695" s="1">
        <v>35000</v>
      </c>
      <c r="H695" s="1">
        <v>5597</v>
      </c>
      <c r="I695" s="1" t="s">
        <v>15</v>
      </c>
      <c r="J695" s="1">
        <v>5</v>
      </c>
      <c r="K695" s="1" t="s">
        <v>15</v>
      </c>
      <c r="L695" s="1">
        <v>4</v>
      </c>
      <c r="M695" s="1" t="s">
        <v>20</v>
      </c>
      <c r="N695" s="5">
        <f>IF(Tabulka1[[#This Row],[E-shop]]="ano",1,0)</f>
        <v>0</v>
      </c>
      <c r="O695" s="5">
        <f>IF(Tabulka1[[#This Row],[Reklamace]]="ano",1,0)</f>
        <v>0</v>
      </c>
    </row>
    <row r="696" spans="1:15" ht="15.75" customHeight="1" x14ac:dyDescent="0.3">
      <c r="A696" s="1">
        <v>101</v>
      </c>
      <c r="B696" s="2">
        <v>45725</v>
      </c>
      <c r="C696" s="1" t="s">
        <v>36</v>
      </c>
      <c r="D696" s="1" t="s">
        <v>37</v>
      </c>
      <c r="E696" s="1">
        <v>5</v>
      </c>
      <c r="F696" s="1">
        <v>7000</v>
      </c>
      <c r="G696" s="1">
        <v>35000</v>
      </c>
      <c r="H696" s="1">
        <v>5742</v>
      </c>
      <c r="I696" s="1" t="s">
        <v>15</v>
      </c>
      <c r="J696" s="1">
        <v>2</v>
      </c>
      <c r="K696" s="1" t="s">
        <v>16</v>
      </c>
      <c r="L696" s="1">
        <v>7</v>
      </c>
      <c r="M696" s="1" t="s">
        <v>17</v>
      </c>
      <c r="N696" s="5">
        <f>IF(Tabulka1[[#This Row],[E-shop]]="ano",1,0)</f>
        <v>0</v>
      </c>
      <c r="O696" s="5">
        <f>IF(Tabulka1[[#This Row],[Reklamace]]="ano",1,0)</f>
        <v>1</v>
      </c>
    </row>
    <row r="697" spans="1:15" ht="15.75" customHeight="1" x14ac:dyDescent="0.3">
      <c r="A697" s="1">
        <v>105</v>
      </c>
      <c r="B697" s="2">
        <v>45649</v>
      </c>
      <c r="C697" s="1" t="s">
        <v>31</v>
      </c>
      <c r="D697" s="1" t="s">
        <v>42</v>
      </c>
      <c r="E697" s="1">
        <v>5</v>
      </c>
      <c r="F697" s="1">
        <v>7000</v>
      </c>
      <c r="G697" s="1">
        <v>35000</v>
      </c>
      <c r="H697" s="1">
        <v>8209</v>
      </c>
      <c r="I697" s="1" t="s">
        <v>15</v>
      </c>
      <c r="J697" s="1">
        <v>3</v>
      </c>
      <c r="K697" s="1" t="s">
        <v>15</v>
      </c>
      <c r="L697" s="1">
        <v>6</v>
      </c>
      <c r="M697" s="1" t="s">
        <v>20</v>
      </c>
      <c r="N697" s="5">
        <f>IF(Tabulka1[[#This Row],[E-shop]]="ano",1,0)</f>
        <v>0</v>
      </c>
      <c r="O697" s="5">
        <f>IF(Tabulka1[[#This Row],[Reklamace]]="ano",1,0)</f>
        <v>0</v>
      </c>
    </row>
    <row r="698" spans="1:15" ht="15.75" customHeight="1" x14ac:dyDescent="0.3">
      <c r="A698" s="1">
        <v>111</v>
      </c>
      <c r="B698" s="2">
        <v>45734</v>
      </c>
      <c r="C698" s="1" t="s">
        <v>18</v>
      </c>
      <c r="D698" s="1" t="s">
        <v>34</v>
      </c>
      <c r="E698" s="1">
        <v>10</v>
      </c>
      <c r="F698" s="1">
        <v>3500</v>
      </c>
      <c r="G698" s="1">
        <v>35000</v>
      </c>
      <c r="H698" s="1">
        <v>8999</v>
      </c>
      <c r="I698" s="1" t="s">
        <v>15</v>
      </c>
      <c r="J698" s="1">
        <v>9</v>
      </c>
      <c r="K698" s="1" t="s">
        <v>16</v>
      </c>
      <c r="L698" s="1">
        <v>1</v>
      </c>
      <c r="M698" s="1" t="s">
        <v>20</v>
      </c>
      <c r="N698" s="5">
        <f>IF(Tabulka1[[#This Row],[E-shop]]="ano",1,0)</f>
        <v>0</v>
      </c>
      <c r="O698" s="5">
        <f>IF(Tabulka1[[#This Row],[Reklamace]]="ano",1,0)</f>
        <v>1</v>
      </c>
    </row>
    <row r="699" spans="1:15" ht="15.75" customHeight="1" x14ac:dyDescent="0.3">
      <c r="A699" s="1">
        <v>140</v>
      </c>
      <c r="B699" s="2">
        <v>46008</v>
      </c>
      <c r="C699" s="1" t="s">
        <v>23</v>
      </c>
      <c r="D699" s="1" t="s">
        <v>24</v>
      </c>
      <c r="E699" s="1">
        <v>5</v>
      </c>
      <c r="F699" s="1">
        <v>7000</v>
      </c>
      <c r="G699" s="1">
        <v>35000</v>
      </c>
      <c r="H699" s="1">
        <v>8990</v>
      </c>
      <c r="I699" s="1" t="s">
        <v>16</v>
      </c>
      <c r="J699" s="1">
        <v>7</v>
      </c>
      <c r="K699" s="1" t="s">
        <v>16</v>
      </c>
      <c r="L699" s="1">
        <v>3</v>
      </c>
      <c r="M699" s="1" t="s">
        <v>20</v>
      </c>
      <c r="N699" s="5">
        <f>IF(Tabulka1[[#This Row],[E-shop]]="ano",1,0)</f>
        <v>1</v>
      </c>
      <c r="O699" s="5">
        <f>IF(Tabulka1[[#This Row],[Reklamace]]="ano",1,0)</f>
        <v>1</v>
      </c>
    </row>
    <row r="700" spans="1:15" ht="15.75" customHeight="1" x14ac:dyDescent="0.3">
      <c r="A700" s="1">
        <v>281</v>
      </c>
      <c r="B700" s="2">
        <v>45814</v>
      </c>
      <c r="C700" s="1" t="s">
        <v>31</v>
      </c>
      <c r="D700" s="1" t="s">
        <v>34</v>
      </c>
      <c r="E700" s="1">
        <v>10</v>
      </c>
      <c r="F700" s="1">
        <v>3500</v>
      </c>
      <c r="G700" s="1">
        <v>35000</v>
      </c>
      <c r="H700" s="1">
        <v>7251</v>
      </c>
      <c r="I700" s="1" t="s">
        <v>15</v>
      </c>
      <c r="J700" s="1">
        <v>5</v>
      </c>
      <c r="K700" s="1" t="s">
        <v>15</v>
      </c>
      <c r="L700" s="1">
        <v>3</v>
      </c>
      <c r="M700" s="1" t="s">
        <v>20</v>
      </c>
      <c r="N700" s="5">
        <f>IF(Tabulka1[[#This Row],[E-shop]]="ano",1,0)</f>
        <v>0</v>
      </c>
      <c r="O700" s="5">
        <f>IF(Tabulka1[[#This Row],[Reklamace]]="ano",1,0)</f>
        <v>0</v>
      </c>
    </row>
    <row r="701" spans="1:15" ht="15.75" customHeight="1" x14ac:dyDescent="0.3">
      <c r="A701" s="1">
        <v>328</v>
      </c>
      <c r="B701" s="2">
        <v>45937</v>
      </c>
      <c r="C701" s="1" t="s">
        <v>18</v>
      </c>
      <c r="D701" s="1" t="s">
        <v>24</v>
      </c>
      <c r="E701" s="1">
        <v>5</v>
      </c>
      <c r="F701" s="1">
        <v>7000</v>
      </c>
      <c r="G701" s="1">
        <v>35000</v>
      </c>
      <c r="H701" s="1">
        <v>9313</v>
      </c>
      <c r="I701" s="1" t="s">
        <v>15</v>
      </c>
      <c r="J701" s="1">
        <v>6</v>
      </c>
      <c r="K701" s="1" t="s">
        <v>16</v>
      </c>
      <c r="L701" s="1">
        <v>2</v>
      </c>
      <c r="M701" s="1" t="s">
        <v>20</v>
      </c>
      <c r="N701" s="5">
        <f>IF(Tabulka1[[#This Row],[E-shop]]="ano",1,0)</f>
        <v>0</v>
      </c>
      <c r="O701" s="5">
        <f>IF(Tabulka1[[#This Row],[Reklamace]]="ano",1,0)</f>
        <v>1</v>
      </c>
    </row>
    <row r="702" spans="1:15" ht="15.75" customHeight="1" x14ac:dyDescent="0.3">
      <c r="A702" s="1">
        <v>400</v>
      </c>
      <c r="B702" s="2">
        <v>45795</v>
      </c>
      <c r="C702" s="1" t="s">
        <v>21</v>
      </c>
      <c r="D702" s="1" t="s">
        <v>24</v>
      </c>
      <c r="E702" s="1">
        <v>5</v>
      </c>
      <c r="F702" s="1">
        <v>7000</v>
      </c>
      <c r="G702" s="1">
        <v>35000</v>
      </c>
      <c r="H702" s="1">
        <v>6356</v>
      </c>
      <c r="I702" s="1" t="s">
        <v>16</v>
      </c>
      <c r="J702" s="1">
        <v>3</v>
      </c>
      <c r="K702" s="1" t="s">
        <v>15</v>
      </c>
      <c r="L702" s="1">
        <v>7</v>
      </c>
      <c r="M702" s="1" t="s">
        <v>20</v>
      </c>
      <c r="N702" s="5">
        <f>IF(Tabulka1[[#This Row],[E-shop]]="ano",1,0)</f>
        <v>1</v>
      </c>
      <c r="O702" s="5">
        <f>IF(Tabulka1[[#This Row],[Reklamace]]="ano",1,0)</f>
        <v>0</v>
      </c>
    </row>
    <row r="703" spans="1:15" ht="15.75" customHeight="1" x14ac:dyDescent="0.3">
      <c r="A703" s="1">
        <v>492</v>
      </c>
      <c r="B703" s="2">
        <v>45700</v>
      </c>
      <c r="C703" s="1" t="s">
        <v>36</v>
      </c>
      <c r="D703" s="1" t="s">
        <v>24</v>
      </c>
      <c r="E703" s="1">
        <v>5</v>
      </c>
      <c r="F703" s="1">
        <v>7000</v>
      </c>
      <c r="G703" s="1">
        <v>35000</v>
      </c>
      <c r="H703" s="1">
        <v>8399</v>
      </c>
      <c r="I703" s="1" t="s">
        <v>15</v>
      </c>
      <c r="J703" s="1">
        <v>3</v>
      </c>
      <c r="K703" s="1" t="s">
        <v>15</v>
      </c>
      <c r="L703" s="1">
        <v>7</v>
      </c>
      <c r="M703" s="1" t="s">
        <v>17</v>
      </c>
      <c r="N703" s="5">
        <f>IF(Tabulka1[[#This Row],[E-shop]]="ano",1,0)</f>
        <v>0</v>
      </c>
      <c r="O703" s="5">
        <f>IF(Tabulka1[[#This Row],[Reklamace]]="ano",1,0)</f>
        <v>0</v>
      </c>
    </row>
    <row r="704" spans="1:15" ht="15.75" customHeight="1" x14ac:dyDescent="0.3">
      <c r="A704" s="1">
        <v>550</v>
      </c>
      <c r="B704" s="2">
        <v>45413</v>
      </c>
      <c r="C704" s="1" t="s">
        <v>18</v>
      </c>
      <c r="D704" s="1" t="s">
        <v>24</v>
      </c>
      <c r="E704" s="1">
        <v>5</v>
      </c>
      <c r="F704" s="1">
        <v>7000</v>
      </c>
      <c r="G704" s="1">
        <v>35000</v>
      </c>
      <c r="H704" s="1">
        <v>5582</v>
      </c>
      <c r="I704" s="1" t="s">
        <v>15</v>
      </c>
      <c r="J704" s="1">
        <v>3</v>
      </c>
      <c r="K704" s="1" t="s">
        <v>15</v>
      </c>
      <c r="L704" s="1">
        <v>6</v>
      </c>
      <c r="M704" s="1" t="s">
        <v>17</v>
      </c>
      <c r="N704" s="5">
        <f>IF(Tabulka1[[#This Row],[E-shop]]="ano",1,0)</f>
        <v>0</v>
      </c>
      <c r="O704" s="5">
        <f>IF(Tabulka1[[#This Row],[Reklamace]]="ano",1,0)</f>
        <v>0</v>
      </c>
    </row>
    <row r="705" spans="1:15" ht="15.75" customHeight="1" x14ac:dyDescent="0.3">
      <c r="A705" s="1">
        <v>571</v>
      </c>
      <c r="B705" s="2">
        <v>45966</v>
      </c>
      <c r="C705" s="1" t="s">
        <v>13</v>
      </c>
      <c r="D705" s="1" t="s">
        <v>45</v>
      </c>
      <c r="E705" s="1">
        <v>10</v>
      </c>
      <c r="F705" s="1">
        <v>3500</v>
      </c>
      <c r="G705" s="1">
        <v>35000</v>
      </c>
      <c r="H705" s="1">
        <v>5910</v>
      </c>
      <c r="I705" s="1" t="s">
        <v>16</v>
      </c>
      <c r="J705" s="1">
        <v>9</v>
      </c>
      <c r="K705" s="1" t="s">
        <v>15</v>
      </c>
      <c r="L705" s="1">
        <v>2</v>
      </c>
      <c r="M705" s="1" t="s">
        <v>20</v>
      </c>
      <c r="N705" s="5">
        <f>IF(Tabulka1[[#This Row],[E-shop]]="ano",1,0)</f>
        <v>1</v>
      </c>
      <c r="O705" s="5">
        <f>IF(Tabulka1[[#This Row],[Reklamace]]="ano",1,0)</f>
        <v>0</v>
      </c>
    </row>
    <row r="706" spans="1:15" ht="15.75" customHeight="1" x14ac:dyDescent="0.3">
      <c r="A706" s="1">
        <v>672</v>
      </c>
      <c r="B706" s="2">
        <v>45497</v>
      </c>
      <c r="C706" s="1" t="s">
        <v>31</v>
      </c>
      <c r="D706" s="1" t="s">
        <v>42</v>
      </c>
      <c r="E706" s="1">
        <v>5</v>
      </c>
      <c r="F706" s="1">
        <v>7000</v>
      </c>
      <c r="G706" s="1">
        <v>35000</v>
      </c>
      <c r="H706" s="1">
        <v>7062</v>
      </c>
      <c r="I706" s="1" t="s">
        <v>16</v>
      </c>
      <c r="J706" s="1">
        <v>6</v>
      </c>
      <c r="K706" s="1" t="s">
        <v>16</v>
      </c>
      <c r="L706" s="1">
        <v>4</v>
      </c>
      <c r="M706" s="1" t="s">
        <v>20</v>
      </c>
      <c r="N706" s="5">
        <f>IF(Tabulka1[[#This Row],[E-shop]]="ano",1,0)</f>
        <v>1</v>
      </c>
      <c r="O706" s="5">
        <f>IF(Tabulka1[[#This Row],[Reklamace]]="ano",1,0)</f>
        <v>1</v>
      </c>
    </row>
    <row r="707" spans="1:15" ht="15.75" customHeight="1" x14ac:dyDescent="0.3">
      <c r="A707" s="1">
        <v>748</v>
      </c>
      <c r="B707" s="2">
        <v>45369</v>
      </c>
      <c r="C707" s="1" t="s">
        <v>23</v>
      </c>
      <c r="D707" s="1" t="s">
        <v>24</v>
      </c>
      <c r="E707" s="1">
        <v>5</v>
      </c>
      <c r="F707" s="1">
        <v>7000</v>
      </c>
      <c r="G707" s="1">
        <v>35000</v>
      </c>
      <c r="H707" s="1">
        <v>7983</v>
      </c>
      <c r="I707" s="1" t="s">
        <v>16</v>
      </c>
      <c r="J707" s="1">
        <v>2</v>
      </c>
      <c r="K707" s="1" t="s">
        <v>15</v>
      </c>
      <c r="L707" s="1">
        <v>8</v>
      </c>
      <c r="M707" s="1" t="s">
        <v>17</v>
      </c>
      <c r="N707" s="5">
        <f>IF(Tabulka1[[#This Row],[E-shop]]="ano",1,0)</f>
        <v>1</v>
      </c>
      <c r="O707" s="5">
        <f>IF(Tabulka1[[#This Row],[Reklamace]]="ano",1,0)</f>
        <v>0</v>
      </c>
    </row>
    <row r="708" spans="1:15" ht="15.75" customHeight="1" x14ac:dyDescent="0.3">
      <c r="A708" s="1">
        <v>766</v>
      </c>
      <c r="B708" s="2">
        <v>45717</v>
      </c>
      <c r="C708" s="1" t="s">
        <v>13</v>
      </c>
      <c r="D708" s="1" t="s">
        <v>42</v>
      </c>
      <c r="E708" s="1">
        <v>5</v>
      </c>
      <c r="F708" s="1">
        <v>7000</v>
      </c>
      <c r="G708" s="1">
        <v>35000</v>
      </c>
      <c r="H708" s="1">
        <v>5844</v>
      </c>
      <c r="I708" s="1" t="s">
        <v>15</v>
      </c>
      <c r="J708" s="1">
        <v>6</v>
      </c>
      <c r="K708" s="1" t="s">
        <v>16</v>
      </c>
      <c r="L708" s="1">
        <v>3</v>
      </c>
      <c r="M708" s="1" t="s">
        <v>17</v>
      </c>
      <c r="N708" s="5">
        <f>IF(Tabulka1[[#This Row],[E-shop]]="ano",1,0)</f>
        <v>0</v>
      </c>
      <c r="O708" s="5">
        <f>IF(Tabulka1[[#This Row],[Reklamace]]="ano",1,0)</f>
        <v>1</v>
      </c>
    </row>
    <row r="709" spans="1:15" ht="15.75" customHeight="1" x14ac:dyDescent="0.3">
      <c r="A709" s="1">
        <v>833</v>
      </c>
      <c r="B709" s="2">
        <v>45599</v>
      </c>
      <c r="C709" s="1" t="s">
        <v>13</v>
      </c>
      <c r="D709" s="1" t="s">
        <v>34</v>
      </c>
      <c r="E709" s="1">
        <v>10</v>
      </c>
      <c r="F709" s="1">
        <v>3500</v>
      </c>
      <c r="G709" s="1">
        <v>35000</v>
      </c>
      <c r="H709" s="1">
        <v>6795</v>
      </c>
      <c r="I709" s="1" t="s">
        <v>16</v>
      </c>
      <c r="J709" s="1">
        <v>6</v>
      </c>
      <c r="K709" s="1" t="s">
        <v>16</v>
      </c>
      <c r="L709" s="1">
        <v>2</v>
      </c>
      <c r="M709" s="1" t="s">
        <v>20</v>
      </c>
      <c r="N709" s="5">
        <f>IF(Tabulka1[[#This Row],[E-shop]]="ano",1,0)</f>
        <v>1</v>
      </c>
      <c r="O709" s="5">
        <f>IF(Tabulka1[[#This Row],[Reklamace]]="ano",1,0)</f>
        <v>1</v>
      </c>
    </row>
    <row r="710" spans="1:15" ht="15.75" customHeight="1" x14ac:dyDescent="0.3">
      <c r="A710" s="1">
        <v>834</v>
      </c>
      <c r="B710" s="2">
        <v>45557</v>
      </c>
      <c r="C710" s="1" t="s">
        <v>23</v>
      </c>
      <c r="D710" s="1" t="s">
        <v>37</v>
      </c>
      <c r="E710" s="1">
        <v>5</v>
      </c>
      <c r="F710" s="1">
        <v>7000</v>
      </c>
      <c r="G710" s="1">
        <v>35000</v>
      </c>
      <c r="H710" s="1">
        <v>7069</v>
      </c>
      <c r="I710" s="1" t="s">
        <v>16</v>
      </c>
      <c r="J710" s="1">
        <v>3</v>
      </c>
      <c r="K710" s="1" t="s">
        <v>15</v>
      </c>
      <c r="L710" s="1">
        <v>5</v>
      </c>
      <c r="M710" s="1" t="s">
        <v>20</v>
      </c>
      <c r="N710" s="5">
        <f>IF(Tabulka1[[#This Row],[E-shop]]="ano",1,0)</f>
        <v>1</v>
      </c>
      <c r="O710" s="5">
        <f>IF(Tabulka1[[#This Row],[Reklamace]]="ano",1,0)</f>
        <v>0</v>
      </c>
    </row>
    <row r="711" spans="1:15" ht="15.75" customHeight="1" x14ac:dyDescent="0.3">
      <c r="A711" s="1">
        <v>870</v>
      </c>
      <c r="B711" s="2">
        <v>45586</v>
      </c>
      <c r="C711" s="1" t="s">
        <v>23</v>
      </c>
      <c r="D711" s="1" t="s">
        <v>42</v>
      </c>
      <c r="E711" s="1">
        <v>5</v>
      </c>
      <c r="F711" s="1">
        <v>7000</v>
      </c>
      <c r="G711" s="1">
        <v>35000</v>
      </c>
      <c r="H711" s="1">
        <v>5553</v>
      </c>
      <c r="I711" s="1" t="s">
        <v>15</v>
      </c>
      <c r="J711" s="1">
        <v>7</v>
      </c>
      <c r="K711" s="1" t="s">
        <v>15</v>
      </c>
      <c r="L711" s="1">
        <v>4</v>
      </c>
      <c r="M711" s="1" t="s">
        <v>17</v>
      </c>
      <c r="N711" s="5">
        <f>IF(Tabulka1[[#This Row],[E-shop]]="ano",1,0)</f>
        <v>0</v>
      </c>
      <c r="O711" s="5">
        <f>IF(Tabulka1[[#This Row],[Reklamace]]="ano",1,0)</f>
        <v>0</v>
      </c>
    </row>
    <row r="712" spans="1:15" ht="15.75" customHeight="1" x14ac:dyDescent="0.3">
      <c r="A712" s="1">
        <v>892</v>
      </c>
      <c r="B712" s="2">
        <v>45989</v>
      </c>
      <c r="C712" s="1" t="s">
        <v>36</v>
      </c>
      <c r="D712" s="1" t="s">
        <v>37</v>
      </c>
      <c r="E712" s="1">
        <v>5</v>
      </c>
      <c r="F712" s="1">
        <v>7000</v>
      </c>
      <c r="G712" s="1">
        <v>35000</v>
      </c>
      <c r="H712" s="1">
        <v>5381</v>
      </c>
      <c r="I712" s="1" t="s">
        <v>15</v>
      </c>
      <c r="J712" s="1">
        <v>4</v>
      </c>
      <c r="K712" s="1" t="s">
        <v>15</v>
      </c>
      <c r="L712" s="1">
        <v>6</v>
      </c>
      <c r="M712" s="1" t="s">
        <v>20</v>
      </c>
      <c r="N712" s="5">
        <f>IF(Tabulka1[[#This Row],[E-shop]]="ano",1,0)</f>
        <v>0</v>
      </c>
      <c r="O712" s="5">
        <f>IF(Tabulka1[[#This Row],[Reklamace]]="ano",1,0)</f>
        <v>0</v>
      </c>
    </row>
    <row r="713" spans="1:15" ht="15.75" customHeight="1" x14ac:dyDescent="0.3">
      <c r="A713" s="1">
        <v>907</v>
      </c>
      <c r="B713" s="2">
        <v>45457</v>
      </c>
      <c r="C713" s="1" t="s">
        <v>21</v>
      </c>
      <c r="D713" s="1" t="s">
        <v>45</v>
      </c>
      <c r="E713" s="1">
        <v>10</v>
      </c>
      <c r="F713" s="1">
        <v>3500</v>
      </c>
      <c r="G713" s="1">
        <v>35000</v>
      </c>
      <c r="H713" s="1">
        <v>5288</v>
      </c>
      <c r="I713" s="1" t="s">
        <v>16</v>
      </c>
      <c r="J713" s="1">
        <v>8</v>
      </c>
      <c r="K713" s="1" t="s">
        <v>15</v>
      </c>
      <c r="L713" s="1">
        <v>3</v>
      </c>
      <c r="M713" s="1" t="s">
        <v>20</v>
      </c>
      <c r="N713" s="5">
        <f>IF(Tabulka1[[#This Row],[E-shop]]="ano",1,0)</f>
        <v>1</v>
      </c>
      <c r="O713" s="5">
        <f>IF(Tabulka1[[#This Row],[Reklamace]]="ano",1,0)</f>
        <v>0</v>
      </c>
    </row>
    <row r="714" spans="1:15" ht="15.75" customHeight="1" x14ac:dyDescent="0.3">
      <c r="A714" s="1">
        <v>932</v>
      </c>
      <c r="B714" s="2">
        <v>45886</v>
      </c>
      <c r="C714" s="1" t="s">
        <v>13</v>
      </c>
      <c r="D714" s="1" t="s">
        <v>42</v>
      </c>
      <c r="E714" s="1">
        <v>5</v>
      </c>
      <c r="F714" s="1">
        <v>7000</v>
      </c>
      <c r="G714" s="1">
        <v>35000</v>
      </c>
      <c r="H714" s="1">
        <v>9847</v>
      </c>
      <c r="I714" s="1" t="s">
        <v>15</v>
      </c>
      <c r="J714" s="1">
        <v>2</v>
      </c>
      <c r="K714" s="1" t="s">
        <v>15</v>
      </c>
      <c r="L714" s="1">
        <v>7</v>
      </c>
      <c r="M714" s="1" t="s">
        <v>17</v>
      </c>
      <c r="N714" s="5">
        <f>IF(Tabulka1[[#This Row],[E-shop]]="ano",1,0)</f>
        <v>0</v>
      </c>
      <c r="O714" s="5">
        <f>IF(Tabulka1[[#This Row],[Reklamace]]="ano",1,0)</f>
        <v>0</v>
      </c>
    </row>
    <row r="715" spans="1:15" ht="15.75" customHeight="1" x14ac:dyDescent="0.3">
      <c r="A715" s="1">
        <v>948</v>
      </c>
      <c r="B715" s="2">
        <v>45297</v>
      </c>
      <c r="C715" s="1" t="s">
        <v>36</v>
      </c>
      <c r="D715" s="1" t="s">
        <v>37</v>
      </c>
      <c r="E715" s="1">
        <v>5</v>
      </c>
      <c r="F715" s="1">
        <v>7000</v>
      </c>
      <c r="G715" s="1">
        <v>35000</v>
      </c>
      <c r="H715" s="1">
        <v>6393</v>
      </c>
      <c r="I715" s="1" t="s">
        <v>16</v>
      </c>
      <c r="J715" s="1">
        <v>5</v>
      </c>
      <c r="K715" s="1" t="s">
        <v>15</v>
      </c>
      <c r="L715" s="1">
        <v>4</v>
      </c>
      <c r="M715" s="1" t="s">
        <v>17</v>
      </c>
      <c r="N715" s="5">
        <f>IF(Tabulka1[[#This Row],[E-shop]]="ano",1,0)</f>
        <v>1</v>
      </c>
      <c r="O715" s="5">
        <f>IF(Tabulka1[[#This Row],[Reklamace]]="ano",1,0)</f>
        <v>0</v>
      </c>
    </row>
    <row r="716" spans="1:15" ht="15.75" customHeight="1" x14ac:dyDescent="0.3">
      <c r="A716" s="1">
        <v>992</v>
      </c>
      <c r="B716" s="2">
        <v>45989</v>
      </c>
      <c r="C716" s="1" t="s">
        <v>21</v>
      </c>
      <c r="D716" s="1" t="s">
        <v>41</v>
      </c>
      <c r="E716" s="1">
        <v>7</v>
      </c>
      <c r="F716" s="1">
        <v>5000</v>
      </c>
      <c r="G716" s="1">
        <v>35000</v>
      </c>
      <c r="H716" s="1">
        <v>5776</v>
      </c>
      <c r="I716" s="1" t="s">
        <v>16</v>
      </c>
      <c r="J716" s="1">
        <v>7</v>
      </c>
      <c r="K716" s="1" t="s">
        <v>16</v>
      </c>
      <c r="L716" s="1">
        <v>4</v>
      </c>
      <c r="M716" s="1" t="s">
        <v>20</v>
      </c>
      <c r="N716" s="5">
        <f>IF(Tabulka1[[#This Row],[E-shop]]="ano",1,0)</f>
        <v>1</v>
      </c>
      <c r="O716" s="5">
        <f>IF(Tabulka1[[#This Row],[Reklamace]]="ano",1,0)</f>
        <v>1</v>
      </c>
    </row>
    <row r="717" spans="1:15" ht="15.75" customHeight="1" x14ac:dyDescent="0.3">
      <c r="A717" s="1">
        <v>256</v>
      </c>
      <c r="B717" s="2">
        <v>45957</v>
      </c>
      <c r="C717" s="1" t="s">
        <v>23</v>
      </c>
      <c r="D717" s="1" t="s">
        <v>43</v>
      </c>
      <c r="E717" s="1">
        <v>3</v>
      </c>
      <c r="F717" s="1">
        <v>11000</v>
      </c>
      <c r="G717" s="1">
        <v>33000</v>
      </c>
      <c r="H717" s="1">
        <v>5004</v>
      </c>
      <c r="I717" s="1" t="s">
        <v>16</v>
      </c>
      <c r="J717" s="1">
        <v>1</v>
      </c>
      <c r="K717" s="1" t="s">
        <v>15</v>
      </c>
      <c r="L717" s="1">
        <v>8</v>
      </c>
      <c r="M717" s="1" t="s">
        <v>20</v>
      </c>
      <c r="N717" s="5">
        <f>IF(Tabulka1[[#This Row],[E-shop]]="ano",1,0)</f>
        <v>1</v>
      </c>
      <c r="O717" s="5">
        <f>IF(Tabulka1[[#This Row],[Reklamace]]="ano",1,0)</f>
        <v>0</v>
      </c>
    </row>
    <row r="718" spans="1:15" ht="15.75" customHeight="1" x14ac:dyDescent="0.3">
      <c r="A718" s="1">
        <v>389</v>
      </c>
      <c r="B718" s="2">
        <v>45456</v>
      </c>
      <c r="C718" s="1" t="s">
        <v>18</v>
      </c>
      <c r="D718" s="1" t="s">
        <v>46</v>
      </c>
      <c r="E718" s="1">
        <v>11</v>
      </c>
      <c r="F718" s="1">
        <v>3000</v>
      </c>
      <c r="G718" s="1">
        <v>33000</v>
      </c>
      <c r="H718" s="1">
        <v>7010</v>
      </c>
      <c r="I718" s="1" t="s">
        <v>15</v>
      </c>
      <c r="J718" s="1">
        <v>5</v>
      </c>
      <c r="K718" s="1" t="s">
        <v>15</v>
      </c>
      <c r="L718" s="1">
        <v>5</v>
      </c>
      <c r="M718" s="1" t="s">
        <v>20</v>
      </c>
      <c r="N718" s="5">
        <f>IF(Tabulka1[[#This Row],[E-shop]]="ano",1,0)</f>
        <v>0</v>
      </c>
      <c r="O718" s="5">
        <f>IF(Tabulka1[[#This Row],[Reklamace]]="ano",1,0)</f>
        <v>0</v>
      </c>
    </row>
    <row r="719" spans="1:15" ht="15.75" customHeight="1" x14ac:dyDescent="0.3">
      <c r="A719" s="1">
        <v>450</v>
      </c>
      <c r="B719" s="2">
        <v>45861</v>
      </c>
      <c r="C719" s="1" t="s">
        <v>36</v>
      </c>
      <c r="D719" s="1" t="s">
        <v>43</v>
      </c>
      <c r="E719" s="1">
        <v>3</v>
      </c>
      <c r="F719" s="1">
        <v>11000</v>
      </c>
      <c r="G719" s="1">
        <v>33000</v>
      </c>
      <c r="H719" s="1">
        <v>5580</v>
      </c>
      <c r="I719" s="1" t="s">
        <v>15</v>
      </c>
      <c r="J719" s="1">
        <v>1</v>
      </c>
      <c r="K719" s="1" t="s">
        <v>15</v>
      </c>
      <c r="L719" s="1">
        <v>8</v>
      </c>
      <c r="M719" s="1" t="s">
        <v>20</v>
      </c>
      <c r="N719" s="5">
        <f>IF(Tabulka1[[#This Row],[E-shop]]="ano",1,0)</f>
        <v>0</v>
      </c>
      <c r="O719" s="5">
        <f>IF(Tabulka1[[#This Row],[Reklamace]]="ano",1,0)</f>
        <v>0</v>
      </c>
    </row>
    <row r="720" spans="1:15" ht="15.75" customHeight="1" x14ac:dyDescent="0.3">
      <c r="A720" s="1">
        <v>615</v>
      </c>
      <c r="B720" s="2">
        <v>45481</v>
      </c>
      <c r="C720" s="1" t="s">
        <v>21</v>
      </c>
      <c r="D720" s="1" t="s">
        <v>46</v>
      </c>
      <c r="E720" s="1">
        <v>11</v>
      </c>
      <c r="F720" s="1">
        <v>3000</v>
      </c>
      <c r="G720" s="1">
        <v>33000</v>
      </c>
      <c r="H720" s="1">
        <v>5609</v>
      </c>
      <c r="I720" s="1" t="s">
        <v>16</v>
      </c>
      <c r="J720" s="1">
        <v>6</v>
      </c>
      <c r="K720" s="1" t="s">
        <v>15</v>
      </c>
      <c r="L720" s="1">
        <v>5</v>
      </c>
      <c r="M720" s="1" t="s">
        <v>20</v>
      </c>
      <c r="N720" s="5">
        <f>IF(Tabulka1[[#This Row],[E-shop]]="ano",1,0)</f>
        <v>1</v>
      </c>
      <c r="O720" s="5">
        <f>IF(Tabulka1[[#This Row],[Reklamace]]="ano",1,0)</f>
        <v>0</v>
      </c>
    </row>
    <row r="721" spans="1:15" ht="15.75" customHeight="1" x14ac:dyDescent="0.3">
      <c r="A721" s="1">
        <v>654</v>
      </c>
      <c r="B721" s="2">
        <v>45354</v>
      </c>
      <c r="C721" s="1" t="s">
        <v>36</v>
      </c>
      <c r="D721" s="1" t="s">
        <v>43</v>
      </c>
      <c r="E721" s="1">
        <v>3</v>
      </c>
      <c r="F721" s="1">
        <v>11000</v>
      </c>
      <c r="G721" s="1">
        <v>33000</v>
      </c>
      <c r="H721" s="1">
        <v>8308</v>
      </c>
      <c r="I721" s="1" t="s">
        <v>16</v>
      </c>
      <c r="J721" s="1">
        <v>6</v>
      </c>
      <c r="K721" s="1" t="s">
        <v>15</v>
      </c>
      <c r="L721" s="1">
        <v>5</v>
      </c>
      <c r="M721" s="1" t="s">
        <v>20</v>
      </c>
      <c r="N721" s="5">
        <f>IF(Tabulka1[[#This Row],[E-shop]]="ano",1,0)</f>
        <v>1</v>
      </c>
      <c r="O721" s="5">
        <f>IF(Tabulka1[[#This Row],[Reklamace]]="ano",1,0)</f>
        <v>0</v>
      </c>
    </row>
    <row r="722" spans="1:15" ht="15.75" customHeight="1" x14ac:dyDescent="0.3">
      <c r="A722" s="1">
        <v>549</v>
      </c>
      <c r="B722" s="2">
        <v>45750</v>
      </c>
      <c r="C722" s="1" t="s">
        <v>25</v>
      </c>
      <c r="D722" s="1" t="s">
        <v>39</v>
      </c>
      <c r="E722" s="1">
        <v>13</v>
      </c>
      <c r="F722" s="1">
        <v>2500</v>
      </c>
      <c r="G722" s="1">
        <v>32500</v>
      </c>
      <c r="H722" s="1">
        <v>7248</v>
      </c>
      <c r="I722" s="1" t="s">
        <v>15</v>
      </c>
      <c r="J722" s="1">
        <v>4</v>
      </c>
      <c r="K722" s="1" t="s">
        <v>15</v>
      </c>
      <c r="L722" s="1">
        <v>4</v>
      </c>
      <c r="M722" s="1" t="s">
        <v>17</v>
      </c>
      <c r="N722" s="5">
        <f>IF(Tabulka1[[#This Row],[E-shop]]="ano",1,0)</f>
        <v>0</v>
      </c>
      <c r="O722" s="5">
        <f>IF(Tabulka1[[#This Row],[Reklamace]]="ano",1,0)</f>
        <v>0</v>
      </c>
    </row>
    <row r="723" spans="1:15" ht="15.75" customHeight="1" x14ac:dyDescent="0.3">
      <c r="A723" s="1">
        <v>49</v>
      </c>
      <c r="B723" s="2">
        <v>45902</v>
      </c>
      <c r="C723" s="1" t="s">
        <v>13</v>
      </c>
      <c r="D723" s="1" t="s">
        <v>27</v>
      </c>
      <c r="E723" s="1">
        <v>8</v>
      </c>
      <c r="F723" s="1">
        <v>4000</v>
      </c>
      <c r="G723" s="1">
        <v>32000</v>
      </c>
      <c r="H723" s="1">
        <v>9585</v>
      </c>
      <c r="I723" s="1" t="s">
        <v>15</v>
      </c>
      <c r="J723" s="1">
        <v>5</v>
      </c>
      <c r="K723" s="1" t="s">
        <v>16</v>
      </c>
      <c r="L723" s="1">
        <v>3</v>
      </c>
      <c r="M723" s="1" t="s">
        <v>20</v>
      </c>
      <c r="N723" s="5">
        <f>IF(Tabulka1[[#This Row],[E-shop]]="ano",1,0)</f>
        <v>0</v>
      </c>
      <c r="O723" s="5">
        <f>IF(Tabulka1[[#This Row],[Reklamace]]="ano",1,0)</f>
        <v>1</v>
      </c>
    </row>
    <row r="724" spans="1:15" ht="15.75" customHeight="1" x14ac:dyDescent="0.3">
      <c r="A724" s="1">
        <v>51</v>
      </c>
      <c r="B724" s="2">
        <v>45662</v>
      </c>
      <c r="C724" s="1" t="s">
        <v>21</v>
      </c>
      <c r="D724" s="1" t="s">
        <v>27</v>
      </c>
      <c r="E724" s="1">
        <v>8</v>
      </c>
      <c r="F724" s="1">
        <v>4000</v>
      </c>
      <c r="G724" s="1">
        <v>32000</v>
      </c>
      <c r="H724" s="1">
        <v>5262</v>
      </c>
      <c r="I724" s="1" t="s">
        <v>15</v>
      </c>
      <c r="J724" s="1">
        <v>2</v>
      </c>
      <c r="K724" s="1" t="s">
        <v>15</v>
      </c>
      <c r="L724" s="1">
        <v>7</v>
      </c>
      <c r="M724" s="1" t="s">
        <v>20</v>
      </c>
      <c r="N724" s="5">
        <f>IF(Tabulka1[[#This Row],[E-shop]]="ano",1,0)</f>
        <v>0</v>
      </c>
      <c r="O724" s="5">
        <f>IF(Tabulka1[[#This Row],[Reklamace]]="ano",1,0)</f>
        <v>0</v>
      </c>
    </row>
    <row r="725" spans="1:15" ht="15.75" customHeight="1" x14ac:dyDescent="0.3">
      <c r="A725" s="1">
        <v>581</v>
      </c>
      <c r="B725" s="2">
        <v>45450</v>
      </c>
      <c r="C725" s="1" t="s">
        <v>31</v>
      </c>
      <c r="D725" s="1" t="s">
        <v>30</v>
      </c>
      <c r="E725" s="1">
        <v>4</v>
      </c>
      <c r="F725" s="1">
        <v>8000</v>
      </c>
      <c r="G725" s="1">
        <v>32000</v>
      </c>
      <c r="H725" s="1">
        <v>6227</v>
      </c>
      <c r="I725" s="1" t="s">
        <v>15</v>
      </c>
      <c r="J725" s="1">
        <v>3</v>
      </c>
      <c r="K725" s="1" t="s">
        <v>15</v>
      </c>
      <c r="L725" s="1">
        <v>6</v>
      </c>
      <c r="M725" s="1" t="s">
        <v>17</v>
      </c>
      <c r="N725" s="5">
        <f>IF(Tabulka1[[#This Row],[E-shop]]="ano",1,0)</f>
        <v>0</v>
      </c>
      <c r="O725" s="5">
        <f>IF(Tabulka1[[#This Row],[Reklamace]]="ano",1,0)</f>
        <v>0</v>
      </c>
    </row>
    <row r="726" spans="1:15" ht="15.75" customHeight="1" x14ac:dyDescent="0.3">
      <c r="A726" s="1">
        <v>887</v>
      </c>
      <c r="B726" s="2">
        <v>45518</v>
      </c>
      <c r="C726" s="1" t="s">
        <v>25</v>
      </c>
      <c r="D726" s="1" t="s">
        <v>30</v>
      </c>
      <c r="E726" s="1">
        <v>4</v>
      </c>
      <c r="F726" s="1">
        <v>8000</v>
      </c>
      <c r="G726" s="1">
        <v>32000</v>
      </c>
      <c r="H726" s="1">
        <v>9517</v>
      </c>
      <c r="I726" s="1" t="s">
        <v>15</v>
      </c>
      <c r="J726" s="1">
        <v>6</v>
      </c>
      <c r="K726" s="1" t="s">
        <v>15</v>
      </c>
      <c r="L726" s="1">
        <v>5</v>
      </c>
      <c r="M726" s="1" t="s">
        <v>20</v>
      </c>
      <c r="N726" s="5">
        <f>IF(Tabulka1[[#This Row],[E-shop]]="ano",1,0)</f>
        <v>0</v>
      </c>
      <c r="O726" s="5">
        <f>IF(Tabulka1[[#This Row],[Reklamace]]="ano",1,0)</f>
        <v>0</v>
      </c>
    </row>
    <row r="727" spans="1:15" ht="15.75" customHeight="1" x14ac:dyDescent="0.3">
      <c r="A727" s="1">
        <v>929</v>
      </c>
      <c r="B727" s="2">
        <v>46022</v>
      </c>
      <c r="C727" s="1" t="s">
        <v>36</v>
      </c>
      <c r="D727" s="1" t="s">
        <v>30</v>
      </c>
      <c r="E727" s="1">
        <v>4</v>
      </c>
      <c r="F727" s="1">
        <v>8000</v>
      </c>
      <c r="G727" s="1">
        <v>32000</v>
      </c>
      <c r="H727" s="1">
        <v>9544</v>
      </c>
      <c r="I727" s="1" t="s">
        <v>15</v>
      </c>
      <c r="J727" s="1">
        <v>5</v>
      </c>
      <c r="K727" s="1" t="s">
        <v>15</v>
      </c>
      <c r="L727" s="1">
        <v>6</v>
      </c>
      <c r="M727" s="1" t="s">
        <v>20</v>
      </c>
      <c r="N727" s="5">
        <f>IF(Tabulka1[[#This Row],[E-shop]]="ano",1,0)</f>
        <v>0</v>
      </c>
      <c r="O727" s="5">
        <f>IF(Tabulka1[[#This Row],[Reklamace]]="ano",1,0)</f>
        <v>0</v>
      </c>
    </row>
    <row r="728" spans="1:15" ht="15.75" customHeight="1" x14ac:dyDescent="0.3">
      <c r="A728" s="1">
        <v>100</v>
      </c>
      <c r="B728" s="2">
        <v>45539</v>
      </c>
      <c r="C728" s="1" t="s">
        <v>13</v>
      </c>
      <c r="D728" s="1" t="s">
        <v>45</v>
      </c>
      <c r="E728" s="1">
        <v>9</v>
      </c>
      <c r="F728" s="1">
        <v>3500</v>
      </c>
      <c r="G728" s="1">
        <v>31500</v>
      </c>
      <c r="H728" s="1">
        <v>5564</v>
      </c>
      <c r="I728" s="1" t="s">
        <v>15</v>
      </c>
      <c r="J728" s="1">
        <v>8</v>
      </c>
      <c r="K728" s="1" t="s">
        <v>16</v>
      </c>
      <c r="L728" s="1">
        <v>1</v>
      </c>
      <c r="M728" s="1" t="s">
        <v>20</v>
      </c>
      <c r="N728" s="5">
        <f>IF(Tabulka1[[#This Row],[E-shop]]="ano",1,0)</f>
        <v>0</v>
      </c>
      <c r="O728" s="5">
        <f>IF(Tabulka1[[#This Row],[Reklamace]]="ano",1,0)</f>
        <v>1</v>
      </c>
    </row>
    <row r="729" spans="1:15" ht="15.75" customHeight="1" x14ac:dyDescent="0.3">
      <c r="A729" s="1">
        <v>376</v>
      </c>
      <c r="B729" s="2">
        <v>45378</v>
      </c>
      <c r="C729" s="1" t="s">
        <v>31</v>
      </c>
      <c r="D729" s="1" t="s">
        <v>34</v>
      </c>
      <c r="E729" s="1">
        <v>9</v>
      </c>
      <c r="F729" s="1">
        <v>3500</v>
      </c>
      <c r="G729" s="1">
        <v>31500</v>
      </c>
      <c r="H729" s="1">
        <v>4751</v>
      </c>
      <c r="I729" s="1" t="s">
        <v>16</v>
      </c>
      <c r="J729" s="1">
        <v>6</v>
      </c>
      <c r="K729" s="1" t="s">
        <v>15</v>
      </c>
      <c r="L729" s="1">
        <v>3</v>
      </c>
      <c r="M729" s="1" t="s">
        <v>17</v>
      </c>
      <c r="N729" s="5">
        <f>IF(Tabulka1[[#This Row],[E-shop]]="ano",1,0)</f>
        <v>1</v>
      </c>
      <c r="O729" s="5">
        <f>IF(Tabulka1[[#This Row],[Reklamace]]="ano",1,0)</f>
        <v>0</v>
      </c>
    </row>
    <row r="730" spans="1:15" ht="15.75" customHeight="1" x14ac:dyDescent="0.3">
      <c r="A730" s="1">
        <v>763</v>
      </c>
      <c r="B730" s="2">
        <v>45540</v>
      </c>
      <c r="C730" s="1" t="s">
        <v>31</v>
      </c>
      <c r="D730" s="1" t="s">
        <v>34</v>
      </c>
      <c r="E730" s="1">
        <v>9</v>
      </c>
      <c r="F730" s="1">
        <v>3500</v>
      </c>
      <c r="G730" s="1">
        <v>31500</v>
      </c>
      <c r="H730" s="1">
        <v>7144</v>
      </c>
      <c r="I730" s="1" t="s">
        <v>15</v>
      </c>
      <c r="J730" s="1">
        <v>3</v>
      </c>
      <c r="K730" s="1" t="s">
        <v>15</v>
      </c>
      <c r="L730" s="1">
        <v>7</v>
      </c>
      <c r="M730" s="1" t="s">
        <v>20</v>
      </c>
      <c r="N730" s="5">
        <f>IF(Tabulka1[[#This Row],[E-shop]]="ano",1,0)</f>
        <v>0</v>
      </c>
      <c r="O730" s="5">
        <f>IF(Tabulka1[[#This Row],[Reklamace]]="ano",1,0)</f>
        <v>0</v>
      </c>
    </row>
    <row r="731" spans="1:15" ht="15.75" customHeight="1" x14ac:dyDescent="0.3">
      <c r="A731" s="1">
        <v>820</v>
      </c>
      <c r="B731" s="2">
        <v>45560</v>
      </c>
      <c r="C731" s="1" t="s">
        <v>18</v>
      </c>
      <c r="D731" s="1" t="s">
        <v>34</v>
      </c>
      <c r="E731" s="1">
        <v>9</v>
      </c>
      <c r="F731" s="1">
        <v>3500</v>
      </c>
      <c r="G731" s="1">
        <v>31500</v>
      </c>
      <c r="H731" s="1">
        <v>8971</v>
      </c>
      <c r="I731" s="1" t="s">
        <v>15</v>
      </c>
      <c r="J731" s="1">
        <v>8</v>
      </c>
      <c r="K731" s="1" t="s">
        <v>16</v>
      </c>
      <c r="L731" s="1">
        <v>1</v>
      </c>
      <c r="M731" s="1" t="s">
        <v>20</v>
      </c>
      <c r="N731" s="5">
        <f>IF(Tabulka1[[#This Row],[E-shop]]="ano",1,0)</f>
        <v>0</v>
      </c>
      <c r="O731" s="5">
        <f>IF(Tabulka1[[#This Row],[Reklamace]]="ano",1,0)</f>
        <v>1</v>
      </c>
    </row>
    <row r="732" spans="1:15" ht="15.75" customHeight="1" x14ac:dyDescent="0.3">
      <c r="A732" s="1">
        <v>877</v>
      </c>
      <c r="B732" s="2">
        <v>45808</v>
      </c>
      <c r="C732" s="1" t="s">
        <v>18</v>
      </c>
      <c r="D732" s="1" t="s">
        <v>45</v>
      </c>
      <c r="E732" s="1">
        <v>9</v>
      </c>
      <c r="F732" s="1">
        <v>3500</v>
      </c>
      <c r="G732" s="1">
        <v>31500</v>
      </c>
      <c r="H732" s="1">
        <v>4939</v>
      </c>
      <c r="I732" s="1" t="s">
        <v>16</v>
      </c>
      <c r="J732" s="1">
        <v>6</v>
      </c>
      <c r="K732" s="1" t="s">
        <v>15</v>
      </c>
      <c r="L732" s="1">
        <v>5</v>
      </c>
      <c r="M732" s="1" t="s">
        <v>20</v>
      </c>
      <c r="N732" s="5">
        <f>IF(Tabulka1[[#This Row],[E-shop]]="ano",1,0)</f>
        <v>1</v>
      </c>
      <c r="O732" s="5">
        <f>IF(Tabulka1[[#This Row],[Reklamace]]="ano",1,0)</f>
        <v>0</v>
      </c>
    </row>
    <row r="733" spans="1:15" ht="15.75" customHeight="1" x14ac:dyDescent="0.3">
      <c r="A733" s="1">
        <v>921</v>
      </c>
      <c r="B733" s="2">
        <v>45567</v>
      </c>
      <c r="C733" s="1" t="s">
        <v>23</v>
      </c>
      <c r="D733" s="1" t="s">
        <v>45</v>
      </c>
      <c r="E733" s="1">
        <v>9</v>
      </c>
      <c r="F733" s="1">
        <v>3500</v>
      </c>
      <c r="G733" s="1">
        <v>31500</v>
      </c>
      <c r="H733" s="1">
        <v>6335</v>
      </c>
      <c r="I733" s="1" t="s">
        <v>15</v>
      </c>
      <c r="J733" s="1">
        <v>4</v>
      </c>
      <c r="K733" s="1" t="s">
        <v>16</v>
      </c>
      <c r="L733" s="1">
        <v>4</v>
      </c>
      <c r="M733" s="1" t="s">
        <v>20</v>
      </c>
      <c r="N733" s="5">
        <f>IF(Tabulka1[[#This Row],[E-shop]]="ano",1,0)</f>
        <v>0</v>
      </c>
      <c r="O733" s="5">
        <f>IF(Tabulka1[[#This Row],[Reklamace]]="ano",1,0)</f>
        <v>1</v>
      </c>
    </row>
    <row r="734" spans="1:15" ht="15.75" customHeight="1" x14ac:dyDescent="0.3">
      <c r="A734" s="1">
        <v>933</v>
      </c>
      <c r="B734" s="2">
        <v>45716</v>
      </c>
      <c r="C734" s="1" t="s">
        <v>21</v>
      </c>
      <c r="D734" s="1" t="s">
        <v>45</v>
      </c>
      <c r="E734" s="1">
        <v>9</v>
      </c>
      <c r="F734" s="1">
        <v>3500</v>
      </c>
      <c r="G734" s="1">
        <v>31500</v>
      </c>
      <c r="H734" s="1">
        <v>6407</v>
      </c>
      <c r="I734" s="1" t="s">
        <v>16</v>
      </c>
      <c r="J734" s="1">
        <v>3</v>
      </c>
      <c r="K734" s="1" t="s">
        <v>15</v>
      </c>
      <c r="L734" s="1">
        <v>6</v>
      </c>
      <c r="M734" s="1" t="s">
        <v>17</v>
      </c>
      <c r="N734" s="5">
        <f>IF(Tabulka1[[#This Row],[E-shop]]="ano",1,0)</f>
        <v>1</v>
      </c>
      <c r="O734" s="5">
        <f>IF(Tabulka1[[#This Row],[Reklamace]]="ano",1,0)</f>
        <v>0</v>
      </c>
    </row>
    <row r="735" spans="1:15" ht="15.75" customHeight="1" x14ac:dyDescent="0.3">
      <c r="A735" s="1">
        <v>54</v>
      </c>
      <c r="B735" s="2">
        <v>45630</v>
      </c>
      <c r="C735" s="1" t="s">
        <v>13</v>
      </c>
      <c r="D735" s="1" t="s">
        <v>22</v>
      </c>
      <c r="E735" s="1">
        <v>2</v>
      </c>
      <c r="F735" s="1">
        <v>15000</v>
      </c>
      <c r="G735" s="1">
        <v>30000</v>
      </c>
      <c r="H735" s="1">
        <v>5380</v>
      </c>
      <c r="I735" s="1" t="s">
        <v>15</v>
      </c>
      <c r="J735" s="1">
        <v>7</v>
      </c>
      <c r="K735" s="1" t="s">
        <v>16</v>
      </c>
      <c r="L735" s="1">
        <v>4</v>
      </c>
      <c r="M735" s="1" t="s">
        <v>20</v>
      </c>
      <c r="N735" s="5">
        <f>IF(Tabulka1[[#This Row],[E-shop]]="ano",1,0)</f>
        <v>0</v>
      </c>
      <c r="O735" s="5">
        <f>IF(Tabulka1[[#This Row],[Reklamace]]="ano",1,0)</f>
        <v>1</v>
      </c>
    </row>
    <row r="736" spans="1:15" ht="15.75" customHeight="1" x14ac:dyDescent="0.3">
      <c r="A736" s="1">
        <v>166</v>
      </c>
      <c r="B736" s="2">
        <v>45805</v>
      </c>
      <c r="C736" s="1" t="s">
        <v>21</v>
      </c>
      <c r="D736" s="1" t="s">
        <v>41</v>
      </c>
      <c r="E736" s="1">
        <v>6</v>
      </c>
      <c r="F736" s="1">
        <v>5000</v>
      </c>
      <c r="G736" s="1">
        <v>30000</v>
      </c>
      <c r="H736" s="1">
        <v>8466</v>
      </c>
      <c r="I736" s="1" t="s">
        <v>15</v>
      </c>
      <c r="J736" s="1">
        <v>4</v>
      </c>
      <c r="K736" s="1" t="s">
        <v>15</v>
      </c>
      <c r="L736" s="1">
        <v>7</v>
      </c>
      <c r="M736" s="1" t="s">
        <v>20</v>
      </c>
      <c r="N736" s="5">
        <f>IF(Tabulka1[[#This Row],[E-shop]]="ano",1,0)</f>
        <v>0</v>
      </c>
      <c r="O736" s="5">
        <f>IF(Tabulka1[[#This Row],[Reklamace]]="ano",1,0)</f>
        <v>0</v>
      </c>
    </row>
    <row r="737" spans="1:15" ht="15.75" customHeight="1" x14ac:dyDescent="0.3">
      <c r="A737" s="1">
        <v>209</v>
      </c>
      <c r="B737" s="2">
        <v>45339</v>
      </c>
      <c r="C737" s="1" t="s">
        <v>21</v>
      </c>
      <c r="D737" s="1" t="s">
        <v>22</v>
      </c>
      <c r="E737" s="1">
        <v>2</v>
      </c>
      <c r="F737" s="1">
        <v>15000</v>
      </c>
      <c r="G737" s="1">
        <v>30000</v>
      </c>
      <c r="H737" s="1">
        <v>7432</v>
      </c>
      <c r="I737" s="1" t="s">
        <v>15</v>
      </c>
      <c r="J737" s="1">
        <v>1</v>
      </c>
      <c r="K737" s="1" t="s">
        <v>15</v>
      </c>
      <c r="L737" s="1">
        <v>8</v>
      </c>
      <c r="M737" s="1" t="s">
        <v>17</v>
      </c>
      <c r="N737" s="5">
        <f>IF(Tabulka1[[#This Row],[E-shop]]="ano",1,0)</f>
        <v>0</v>
      </c>
      <c r="O737" s="5">
        <f>IF(Tabulka1[[#This Row],[Reklamace]]="ano",1,0)</f>
        <v>0</v>
      </c>
    </row>
    <row r="738" spans="1:15" ht="15.75" customHeight="1" x14ac:dyDescent="0.3">
      <c r="A738" s="1">
        <v>238</v>
      </c>
      <c r="B738" s="2">
        <v>45564</v>
      </c>
      <c r="C738" s="1" t="s">
        <v>21</v>
      </c>
      <c r="D738" s="1" t="s">
        <v>32</v>
      </c>
      <c r="E738" s="1">
        <v>3</v>
      </c>
      <c r="F738" s="1">
        <v>10000</v>
      </c>
      <c r="G738" s="1">
        <v>30000</v>
      </c>
      <c r="H738" s="1">
        <v>7707</v>
      </c>
      <c r="I738" s="1" t="s">
        <v>16</v>
      </c>
      <c r="J738" s="1">
        <v>6</v>
      </c>
      <c r="K738" s="1" t="s">
        <v>15</v>
      </c>
      <c r="L738" s="1">
        <v>3</v>
      </c>
      <c r="M738" s="1" t="s">
        <v>20</v>
      </c>
      <c r="N738" s="5">
        <f>IF(Tabulka1[[#This Row],[E-shop]]="ano",1,0)</f>
        <v>1</v>
      </c>
      <c r="O738" s="5">
        <f>IF(Tabulka1[[#This Row],[Reklamace]]="ano",1,0)</f>
        <v>0</v>
      </c>
    </row>
    <row r="739" spans="1:15" ht="15.75" customHeight="1" x14ac:dyDescent="0.3">
      <c r="A739" s="1">
        <v>259</v>
      </c>
      <c r="B739" s="2">
        <v>45531</v>
      </c>
      <c r="C739" s="1" t="s">
        <v>36</v>
      </c>
      <c r="D739" s="1" t="s">
        <v>39</v>
      </c>
      <c r="E739" s="1">
        <v>12</v>
      </c>
      <c r="F739" s="1">
        <v>2500</v>
      </c>
      <c r="G739" s="1">
        <v>30000</v>
      </c>
      <c r="H739" s="1">
        <v>8544</v>
      </c>
      <c r="I739" s="1" t="s">
        <v>16</v>
      </c>
      <c r="J739" s="1">
        <v>3</v>
      </c>
      <c r="K739" s="1" t="s">
        <v>16</v>
      </c>
      <c r="L739" s="1">
        <v>8</v>
      </c>
      <c r="M739" s="1" t="s">
        <v>20</v>
      </c>
      <c r="N739" s="5">
        <f>IF(Tabulka1[[#This Row],[E-shop]]="ano",1,0)</f>
        <v>1</v>
      </c>
      <c r="O739" s="5">
        <f>IF(Tabulka1[[#This Row],[Reklamace]]="ano",1,0)</f>
        <v>1</v>
      </c>
    </row>
    <row r="740" spans="1:15" ht="15.75" customHeight="1" x14ac:dyDescent="0.3">
      <c r="A740" s="1">
        <v>367</v>
      </c>
      <c r="B740" s="2">
        <v>45882</v>
      </c>
      <c r="C740" s="1" t="s">
        <v>36</v>
      </c>
      <c r="D740" s="1" t="s">
        <v>39</v>
      </c>
      <c r="E740" s="1">
        <v>12</v>
      </c>
      <c r="F740" s="1">
        <v>2500</v>
      </c>
      <c r="G740" s="1">
        <v>30000</v>
      </c>
      <c r="H740" s="1">
        <v>8445</v>
      </c>
      <c r="I740" s="1" t="s">
        <v>15</v>
      </c>
      <c r="J740" s="1">
        <v>9</v>
      </c>
      <c r="K740" s="1" t="s">
        <v>15</v>
      </c>
      <c r="L740" s="1">
        <v>1</v>
      </c>
      <c r="M740" s="1" t="s">
        <v>20</v>
      </c>
      <c r="N740" s="5">
        <f>IF(Tabulka1[[#This Row],[E-shop]]="ano",1,0)</f>
        <v>0</v>
      </c>
      <c r="O740" s="5">
        <f>IF(Tabulka1[[#This Row],[Reklamace]]="ano",1,0)</f>
        <v>0</v>
      </c>
    </row>
    <row r="741" spans="1:15" ht="15.75" customHeight="1" x14ac:dyDescent="0.3">
      <c r="A741" s="1">
        <v>488</v>
      </c>
      <c r="B741" s="2">
        <v>45893</v>
      </c>
      <c r="C741" s="1" t="s">
        <v>13</v>
      </c>
      <c r="D741" s="1" t="s">
        <v>44</v>
      </c>
      <c r="E741" s="1">
        <v>3</v>
      </c>
      <c r="F741" s="1">
        <v>10000</v>
      </c>
      <c r="G741" s="1">
        <v>30000</v>
      </c>
      <c r="H741" s="1">
        <v>5364</v>
      </c>
      <c r="I741" s="1" t="s">
        <v>15</v>
      </c>
      <c r="J741" s="1">
        <v>5</v>
      </c>
      <c r="K741" s="1" t="s">
        <v>16</v>
      </c>
      <c r="L741" s="1">
        <v>4</v>
      </c>
      <c r="M741" s="1" t="s">
        <v>17</v>
      </c>
      <c r="N741" s="5">
        <f>IF(Tabulka1[[#This Row],[E-shop]]="ano",1,0)</f>
        <v>0</v>
      </c>
      <c r="O741" s="5">
        <f>IF(Tabulka1[[#This Row],[Reklamace]]="ano",1,0)</f>
        <v>1</v>
      </c>
    </row>
    <row r="742" spans="1:15" ht="15.75" customHeight="1" x14ac:dyDescent="0.3">
      <c r="A742" s="1">
        <v>537</v>
      </c>
      <c r="B742" s="2">
        <v>45329</v>
      </c>
      <c r="C742" s="1" t="s">
        <v>23</v>
      </c>
      <c r="D742" s="1" t="s">
        <v>39</v>
      </c>
      <c r="E742" s="1">
        <v>12</v>
      </c>
      <c r="F742" s="1">
        <v>2500</v>
      </c>
      <c r="G742" s="1">
        <v>30000</v>
      </c>
      <c r="H742" s="1">
        <v>8289</v>
      </c>
      <c r="I742" s="1" t="s">
        <v>15</v>
      </c>
      <c r="J742" s="1">
        <v>4</v>
      </c>
      <c r="K742" s="1" t="s">
        <v>15</v>
      </c>
      <c r="L742" s="1">
        <v>6</v>
      </c>
      <c r="M742" s="1" t="s">
        <v>20</v>
      </c>
      <c r="N742" s="5">
        <f>IF(Tabulka1[[#This Row],[E-shop]]="ano",1,0)</f>
        <v>0</v>
      </c>
      <c r="O742" s="5">
        <f>IF(Tabulka1[[#This Row],[Reklamace]]="ano",1,0)</f>
        <v>0</v>
      </c>
    </row>
    <row r="743" spans="1:15" ht="15.75" customHeight="1" x14ac:dyDescent="0.3">
      <c r="A743" s="1">
        <v>544</v>
      </c>
      <c r="B743" s="2">
        <v>45951</v>
      </c>
      <c r="C743" s="1" t="s">
        <v>23</v>
      </c>
      <c r="D743" s="1" t="s">
        <v>39</v>
      </c>
      <c r="E743" s="1">
        <v>12</v>
      </c>
      <c r="F743" s="1">
        <v>2500</v>
      </c>
      <c r="G743" s="1">
        <v>30000</v>
      </c>
      <c r="H743" s="1">
        <v>6217</v>
      </c>
      <c r="I743" s="1" t="s">
        <v>15</v>
      </c>
      <c r="J743" s="1">
        <v>8</v>
      </c>
      <c r="K743" s="1" t="s">
        <v>16</v>
      </c>
      <c r="L743" s="1">
        <v>1</v>
      </c>
      <c r="M743" s="1" t="s">
        <v>20</v>
      </c>
      <c r="N743" s="5">
        <f>IF(Tabulka1[[#This Row],[E-shop]]="ano",1,0)</f>
        <v>0</v>
      </c>
      <c r="O743" s="5">
        <f>IF(Tabulka1[[#This Row],[Reklamace]]="ano",1,0)</f>
        <v>1</v>
      </c>
    </row>
    <row r="744" spans="1:15" ht="15.75" customHeight="1" x14ac:dyDescent="0.3">
      <c r="A744" s="1">
        <v>582</v>
      </c>
      <c r="B744" s="2">
        <v>45444</v>
      </c>
      <c r="C744" s="1" t="s">
        <v>18</v>
      </c>
      <c r="D744" s="1" t="s">
        <v>41</v>
      </c>
      <c r="E744" s="1">
        <v>6</v>
      </c>
      <c r="F744" s="1">
        <v>5000</v>
      </c>
      <c r="G744" s="1">
        <v>30000</v>
      </c>
      <c r="H744" s="1">
        <v>5076</v>
      </c>
      <c r="I744" s="1" t="s">
        <v>16</v>
      </c>
      <c r="J744" s="1">
        <v>4</v>
      </c>
      <c r="K744" s="1" t="s">
        <v>15</v>
      </c>
      <c r="L744" s="1">
        <v>5</v>
      </c>
      <c r="M744" s="1" t="s">
        <v>20</v>
      </c>
      <c r="N744" s="5">
        <f>IF(Tabulka1[[#This Row],[E-shop]]="ano",1,0)</f>
        <v>1</v>
      </c>
      <c r="O744" s="5">
        <f>IF(Tabulka1[[#This Row],[Reklamace]]="ano",1,0)</f>
        <v>0</v>
      </c>
    </row>
    <row r="745" spans="1:15" ht="15.75" customHeight="1" x14ac:dyDescent="0.3">
      <c r="A745" s="1">
        <v>585</v>
      </c>
      <c r="B745" s="2">
        <v>45300</v>
      </c>
      <c r="C745" s="1" t="s">
        <v>36</v>
      </c>
      <c r="D745" s="1" t="s">
        <v>22</v>
      </c>
      <c r="E745" s="1">
        <v>2</v>
      </c>
      <c r="F745" s="1">
        <v>15000</v>
      </c>
      <c r="G745" s="1">
        <v>30000</v>
      </c>
      <c r="H745" s="1">
        <v>7086</v>
      </c>
      <c r="I745" s="1" t="s">
        <v>15</v>
      </c>
      <c r="J745" s="1">
        <v>5</v>
      </c>
      <c r="K745" s="1" t="s">
        <v>15</v>
      </c>
      <c r="L745" s="1">
        <v>5</v>
      </c>
      <c r="M745" s="1" t="s">
        <v>17</v>
      </c>
      <c r="N745" s="5">
        <f>IF(Tabulka1[[#This Row],[E-shop]]="ano",1,0)</f>
        <v>0</v>
      </c>
      <c r="O745" s="5">
        <f>IF(Tabulka1[[#This Row],[Reklamace]]="ano",1,0)</f>
        <v>0</v>
      </c>
    </row>
    <row r="746" spans="1:15" ht="15.75" customHeight="1" x14ac:dyDescent="0.3">
      <c r="A746" s="1">
        <v>592</v>
      </c>
      <c r="B746" s="2">
        <v>45617</v>
      </c>
      <c r="C746" s="1" t="s">
        <v>13</v>
      </c>
      <c r="D746" s="1" t="s">
        <v>44</v>
      </c>
      <c r="E746" s="1">
        <v>3</v>
      </c>
      <c r="F746" s="1">
        <v>10000</v>
      </c>
      <c r="G746" s="1">
        <v>30000</v>
      </c>
      <c r="H746" s="1">
        <v>4980</v>
      </c>
      <c r="I746" s="1" t="s">
        <v>15</v>
      </c>
      <c r="J746" s="1">
        <v>7</v>
      </c>
      <c r="K746" s="1" t="s">
        <v>16</v>
      </c>
      <c r="L746" s="1">
        <v>3</v>
      </c>
      <c r="M746" s="1" t="s">
        <v>20</v>
      </c>
      <c r="N746" s="5">
        <f>IF(Tabulka1[[#This Row],[E-shop]]="ano",1,0)</f>
        <v>0</v>
      </c>
      <c r="O746" s="5">
        <f>IF(Tabulka1[[#This Row],[Reklamace]]="ano",1,0)</f>
        <v>1</v>
      </c>
    </row>
    <row r="747" spans="1:15" ht="15.75" customHeight="1" x14ac:dyDescent="0.3">
      <c r="A747" s="1">
        <v>598</v>
      </c>
      <c r="B747" s="2">
        <v>45321</v>
      </c>
      <c r="C747" s="1" t="s">
        <v>36</v>
      </c>
      <c r="D747" s="1" t="s">
        <v>46</v>
      </c>
      <c r="E747" s="1">
        <v>10</v>
      </c>
      <c r="F747" s="1">
        <v>3000</v>
      </c>
      <c r="G747" s="1">
        <v>30000</v>
      </c>
      <c r="H747" s="1">
        <v>7328</v>
      </c>
      <c r="I747" s="1" t="s">
        <v>15</v>
      </c>
      <c r="J747" s="1">
        <v>6</v>
      </c>
      <c r="K747" s="1" t="s">
        <v>15</v>
      </c>
      <c r="L747" s="1">
        <v>5</v>
      </c>
      <c r="M747" s="1" t="s">
        <v>20</v>
      </c>
      <c r="N747" s="5">
        <f>IF(Tabulka1[[#This Row],[E-shop]]="ano",1,0)</f>
        <v>0</v>
      </c>
      <c r="O747" s="5">
        <f>IF(Tabulka1[[#This Row],[Reklamace]]="ano",1,0)</f>
        <v>0</v>
      </c>
    </row>
    <row r="748" spans="1:15" ht="15.75" customHeight="1" x14ac:dyDescent="0.3">
      <c r="A748" s="1">
        <v>620</v>
      </c>
      <c r="B748" s="2">
        <v>45955</v>
      </c>
      <c r="C748" s="1" t="s">
        <v>23</v>
      </c>
      <c r="D748" s="1" t="s">
        <v>44</v>
      </c>
      <c r="E748" s="1">
        <v>3</v>
      </c>
      <c r="F748" s="1">
        <v>10000</v>
      </c>
      <c r="G748" s="1">
        <v>30000</v>
      </c>
      <c r="H748" s="1">
        <v>5379</v>
      </c>
      <c r="I748" s="1" t="s">
        <v>15</v>
      </c>
      <c r="J748" s="1">
        <v>4</v>
      </c>
      <c r="K748" s="1" t="s">
        <v>16</v>
      </c>
      <c r="L748" s="1">
        <v>7</v>
      </c>
      <c r="M748" s="1" t="s">
        <v>20</v>
      </c>
      <c r="N748" s="5">
        <f>IF(Tabulka1[[#This Row],[E-shop]]="ano",1,0)</f>
        <v>0</v>
      </c>
      <c r="O748" s="5">
        <f>IF(Tabulka1[[#This Row],[Reklamace]]="ano",1,0)</f>
        <v>1</v>
      </c>
    </row>
    <row r="749" spans="1:15" ht="15.75" customHeight="1" x14ac:dyDescent="0.3">
      <c r="A749" s="1">
        <v>630</v>
      </c>
      <c r="B749" s="2">
        <v>45816</v>
      </c>
      <c r="C749" s="1" t="s">
        <v>21</v>
      </c>
      <c r="D749" s="1" t="s">
        <v>22</v>
      </c>
      <c r="E749" s="1">
        <v>2</v>
      </c>
      <c r="F749" s="1">
        <v>15000</v>
      </c>
      <c r="G749" s="1">
        <v>30000</v>
      </c>
      <c r="H749" s="1">
        <v>7069</v>
      </c>
      <c r="I749" s="1" t="s">
        <v>15</v>
      </c>
      <c r="J749" s="1">
        <v>2</v>
      </c>
      <c r="K749" s="1" t="s">
        <v>15</v>
      </c>
      <c r="L749" s="1">
        <v>6</v>
      </c>
      <c r="M749" s="1" t="s">
        <v>20</v>
      </c>
      <c r="N749" s="5">
        <f>IF(Tabulka1[[#This Row],[E-shop]]="ano",1,0)</f>
        <v>0</v>
      </c>
      <c r="O749" s="5">
        <f>IF(Tabulka1[[#This Row],[Reklamace]]="ano",1,0)</f>
        <v>0</v>
      </c>
    </row>
    <row r="750" spans="1:15" ht="15.75" customHeight="1" x14ac:dyDescent="0.3">
      <c r="A750" s="1">
        <v>639</v>
      </c>
      <c r="B750" s="2">
        <v>45667</v>
      </c>
      <c r="C750" s="1" t="s">
        <v>36</v>
      </c>
      <c r="D750" s="1" t="s">
        <v>33</v>
      </c>
      <c r="E750" s="1">
        <v>5</v>
      </c>
      <c r="F750" s="1">
        <v>6000</v>
      </c>
      <c r="G750" s="1">
        <v>30000</v>
      </c>
      <c r="H750" s="1">
        <v>5402</v>
      </c>
      <c r="I750" s="1" t="s">
        <v>15</v>
      </c>
      <c r="J750" s="1">
        <v>2</v>
      </c>
      <c r="K750" s="1" t="s">
        <v>15</v>
      </c>
      <c r="L750" s="1">
        <v>6</v>
      </c>
      <c r="M750" s="1" t="s">
        <v>17</v>
      </c>
      <c r="N750" s="5">
        <f>IF(Tabulka1[[#This Row],[E-shop]]="ano",1,0)</f>
        <v>0</v>
      </c>
      <c r="O750" s="5">
        <f>IF(Tabulka1[[#This Row],[Reklamace]]="ano",1,0)</f>
        <v>0</v>
      </c>
    </row>
    <row r="751" spans="1:15" ht="15.75" customHeight="1" x14ac:dyDescent="0.3">
      <c r="A751" s="1">
        <v>657</v>
      </c>
      <c r="B751" s="2">
        <v>45625</v>
      </c>
      <c r="C751" s="1" t="s">
        <v>36</v>
      </c>
      <c r="D751" s="1" t="s">
        <v>32</v>
      </c>
      <c r="E751" s="1">
        <v>3</v>
      </c>
      <c r="F751" s="1">
        <v>10000</v>
      </c>
      <c r="G751" s="1">
        <v>30000</v>
      </c>
      <c r="H751" s="1">
        <v>6163</v>
      </c>
      <c r="I751" s="1" t="s">
        <v>16</v>
      </c>
      <c r="J751" s="1">
        <v>3</v>
      </c>
      <c r="K751" s="1" t="s">
        <v>15</v>
      </c>
      <c r="L751" s="1">
        <v>8</v>
      </c>
      <c r="M751" s="1" t="s">
        <v>20</v>
      </c>
      <c r="N751" s="5">
        <f>IF(Tabulka1[[#This Row],[E-shop]]="ano",1,0)</f>
        <v>1</v>
      </c>
      <c r="O751" s="5">
        <f>IF(Tabulka1[[#This Row],[Reklamace]]="ano",1,0)</f>
        <v>0</v>
      </c>
    </row>
    <row r="752" spans="1:15" ht="15.75" customHeight="1" x14ac:dyDescent="0.3">
      <c r="A752" s="1">
        <v>753</v>
      </c>
      <c r="B752" s="2">
        <v>45337</v>
      </c>
      <c r="C752" s="1" t="s">
        <v>25</v>
      </c>
      <c r="D752" s="1" t="s">
        <v>22</v>
      </c>
      <c r="E752" s="1">
        <v>2</v>
      </c>
      <c r="F752" s="1">
        <v>15000</v>
      </c>
      <c r="G752" s="1">
        <v>30000</v>
      </c>
      <c r="H752" s="1">
        <v>7378</v>
      </c>
      <c r="I752" s="1" t="s">
        <v>15</v>
      </c>
      <c r="J752" s="1">
        <v>3</v>
      </c>
      <c r="K752" s="1" t="s">
        <v>15</v>
      </c>
      <c r="L752" s="1">
        <v>7</v>
      </c>
      <c r="M752" s="1" t="s">
        <v>17</v>
      </c>
      <c r="N752" s="5">
        <f>IF(Tabulka1[[#This Row],[E-shop]]="ano",1,0)</f>
        <v>0</v>
      </c>
      <c r="O752" s="5">
        <f>IF(Tabulka1[[#This Row],[Reklamace]]="ano",1,0)</f>
        <v>0</v>
      </c>
    </row>
    <row r="753" spans="1:15" ht="15.75" customHeight="1" x14ac:dyDescent="0.3">
      <c r="A753" s="1">
        <v>755</v>
      </c>
      <c r="B753" s="2">
        <v>45503</v>
      </c>
      <c r="C753" s="1" t="s">
        <v>21</v>
      </c>
      <c r="D753" s="1" t="s">
        <v>33</v>
      </c>
      <c r="E753" s="1">
        <v>5</v>
      </c>
      <c r="F753" s="1">
        <v>6000</v>
      </c>
      <c r="G753" s="1">
        <v>30000</v>
      </c>
      <c r="H753" s="1">
        <v>7972</v>
      </c>
      <c r="I753" s="1" t="s">
        <v>15</v>
      </c>
      <c r="J753" s="1">
        <v>2</v>
      </c>
      <c r="K753" s="1" t="s">
        <v>15</v>
      </c>
      <c r="L753" s="1">
        <v>6</v>
      </c>
      <c r="M753" s="1" t="s">
        <v>17</v>
      </c>
      <c r="N753" s="5">
        <f>IF(Tabulka1[[#This Row],[E-shop]]="ano",1,0)</f>
        <v>0</v>
      </c>
      <c r="O753" s="5">
        <f>IF(Tabulka1[[#This Row],[Reklamace]]="ano",1,0)</f>
        <v>0</v>
      </c>
    </row>
    <row r="754" spans="1:15" ht="15.75" customHeight="1" x14ac:dyDescent="0.3">
      <c r="A754" s="1">
        <v>769</v>
      </c>
      <c r="B754" s="2">
        <v>45508</v>
      </c>
      <c r="C754" s="1" t="s">
        <v>25</v>
      </c>
      <c r="D754" s="1" t="s">
        <v>39</v>
      </c>
      <c r="E754" s="1">
        <v>12</v>
      </c>
      <c r="F754" s="1">
        <v>2500</v>
      </c>
      <c r="G754" s="1">
        <v>30000</v>
      </c>
      <c r="H754" s="1">
        <v>4822</v>
      </c>
      <c r="I754" s="1" t="s">
        <v>15</v>
      </c>
      <c r="J754" s="1">
        <v>8</v>
      </c>
      <c r="K754" s="1" t="s">
        <v>16</v>
      </c>
      <c r="L754" s="1">
        <v>2</v>
      </c>
      <c r="M754" s="1" t="s">
        <v>20</v>
      </c>
      <c r="N754" s="5">
        <f>IF(Tabulka1[[#This Row],[E-shop]]="ano",1,0)</f>
        <v>0</v>
      </c>
      <c r="O754" s="5">
        <f>IF(Tabulka1[[#This Row],[Reklamace]]="ano",1,0)</f>
        <v>1</v>
      </c>
    </row>
    <row r="755" spans="1:15" ht="15.75" customHeight="1" x14ac:dyDescent="0.3">
      <c r="A755" s="1">
        <v>847</v>
      </c>
      <c r="B755" s="2">
        <v>45402</v>
      </c>
      <c r="C755" s="1" t="s">
        <v>25</v>
      </c>
      <c r="D755" s="1" t="s">
        <v>33</v>
      </c>
      <c r="E755" s="1">
        <v>5</v>
      </c>
      <c r="F755" s="1">
        <v>6000</v>
      </c>
      <c r="G755" s="1">
        <v>30000</v>
      </c>
      <c r="H755" s="1">
        <v>7676</v>
      </c>
      <c r="I755" s="1" t="s">
        <v>15</v>
      </c>
      <c r="J755" s="1">
        <v>5</v>
      </c>
      <c r="K755" s="1" t="s">
        <v>16</v>
      </c>
      <c r="L755" s="1">
        <v>4</v>
      </c>
      <c r="M755" s="1" t="s">
        <v>20</v>
      </c>
      <c r="N755" s="5">
        <f>IF(Tabulka1[[#This Row],[E-shop]]="ano",1,0)</f>
        <v>0</v>
      </c>
      <c r="O755" s="5">
        <f>IF(Tabulka1[[#This Row],[Reklamace]]="ano",1,0)</f>
        <v>1</v>
      </c>
    </row>
    <row r="756" spans="1:15" ht="15.75" customHeight="1" x14ac:dyDescent="0.3">
      <c r="A756" s="1">
        <v>883</v>
      </c>
      <c r="B756" s="2">
        <v>45622</v>
      </c>
      <c r="C756" s="1" t="s">
        <v>21</v>
      </c>
      <c r="D756" s="1" t="s">
        <v>33</v>
      </c>
      <c r="E756" s="1">
        <v>5</v>
      </c>
      <c r="F756" s="1">
        <v>6000</v>
      </c>
      <c r="G756" s="1">
        <v>30000</v>
      </c>
      <c r="H756" s="1">
        <v>7985</v>
      </c>
      <c r="I756" s="1" t="s">
        <v>15</v>
      </c>
      <c r="J756" s="1">
        <v>7</v>
      </c>
      <c r="K756" s="1" t="s">
        <v>16</v>
      </c>
      <c r="L756" s="1">
        <v>2</v>
      </c>
      <c r="M756" s="1" t="s">
        <v>20</v>
      </c>
      <c r="N756" s="5">
        <f>IF(Tabulka1[[#This Row],[E-shop]]="ano",1,0)</f>
        <v>0</v>
      </c>
      <c r="O756" s="5">
        <f>IF(Tabulka1[[#This Row],[Reklamace]]="ano",1,0)</f>
        <v>1</v>
      </c>
    </row>
    <row r="757" spans="1:15" ht="15.75" customHeight="1" x14ac:dyDescent="0.3">
      <c r="A757" s="1">
        <v>911</v>
      </c>
      <c r="B757" s="2">
        <v>45400</v>
      </c>
      <c r="C757" s="1" t="s">
        <v>21</v>
      </c>
      <c r="D757" s="1" t="s">
        <v>22</v>
      </c>
      <c r="E757" s="1">
        <v>2</v>
      </c>
      <c r="F757" s="1">
        <v>15000</v>
      </c>
      <c r="G757" s="1">
        <v>30000</v>
      </c>
      <c r="H757" s="1">
        <v>7198</v>
      </c>
      <c r="I757" s="1" t="s">
        <v>15</v>
      </c>
      <c r="J757" s="1">
        <v>6</v>
      </c>
      <c r="K757" s="1" t="s">
        <v>16</v>
      </c>
      <c r="L757" s="1">
        <v>4</v>
      </c>
      <c r="M757" s="1" t="s">
        <v>20</v>
      </c>
      <c r="N757" s="5">
        <f>IF(Tabulka1[[#This Row],[E-shop]]="ano",1,0)</f>
        <v>0</v>
      </c>
      <c r="O757" s="5">
        <f>IF(Tabulka1[[#This Row],[Reklamace]]="ano",1,0)</f>
        <v>1</v>
      </c>
    </row>
    <row r="758" spans="1:15" ht="15.75" customHeight="1" x14ac:dyDescent="0.3">
      <c r="A758" s="1">
        <v>951</v>
      </c>
      <c r="B758" s="2">
        <v>45440</v>
      </c>
      <c r="C758" s="1" t="s">
        <v>13</v>
      </c>
      <c r="D758" s="1" t="s">
        <v>46</v>
      </c>
      <c r="E758" s="1">
        <v>10</v>
      </c>
      <c r="F758" s="1">
        <v>3000</v>
      </c>
      <c r="G758" s="1">
        <v>30000</v>
      </c>
      <c r="H758" s="1">
        <v>6825</v>
      </c>
      <c r="I758" s="1" t="s">
        <v>16</v>
      </c>
      <c r="J758" s="1">
        <v>8</v>
      </c>
      <c r="K758" s="1" t="s">
        <v>16</v>
      </c>
      <c r="L758" s="1">
        <v>1</v>
      </c>
      <c r="M758" s="1" t="s">
        <v>17</v>
      </c>
      <c r="N758" s="5">
        <f>IF(Tabulka1[[#This Row],[E-shop]]="ano",1,0)</f>
        <v>1</v>
      </c>
      <c r="O758" s="5">
        <f>IF(Tabulka1[[#This Row],[Reklamace]]="ano",1,0)</f>
        <v>1</v>
      </c>
    </row>
    <row r="759" spans="1:15" ht="15.75" customHeight="1" x14ac:dyDescent="0.3">
      <c r="A759" s="1">
        <v>984</v>
      </c>
      <c r="B759" s="2">
        <v>45775</v>
      </c>
      <c r="C759" s="1" t="s">
        <v>21</v>
      </c>
      <c r="D759" s="1" t="s">
        <v>41</v>
      </c>
      <c r="E759" s="1">
        <v>6</v>
      </c>
      <c r="F759" s="1">
        <v>5000</v>
      </c>
      <c r="G759" s="1">
        <v>30000</v>
      </c>
      <c r="H759" s="1">
        <v>6084</v>
      </c>
      <c r="I759" s="1" t="s">
        <v>16</v>
      </c>
      <c r="J759" s="1">
        <v>5</v>
      </c>
      <c r="K759" s="1" t="s">
        <v>16</v>
      </c>
      <c r="L759" s="1">
        <v>6</v>
      </c>
      <c r="M759" s="1" t="s">
        <v>20</v>
      </c>
      <c r="N759" s="5">
        <f>IF(Tabulka1[[#This Row],[E-shop]]="ano",1,0)</f>
        <v>1</v>
      </c>
      <c r="O759" s="5">
        <f>IF(Tabulka1[[#This Row],[Reklamace]]="ano",1,0)</f>
        <v>1</v>
      </c>
    </row>
    <row r="760" spans="1:15" ht="15.75" customHeight="1" x14ac:dyDescent="0.3">
      <c r="A760" s="1">
        <v>5</v>
      </c>
      <c r="B760" s="2">
        <v>45924</v>
      </c>
      <c r="C760" s="1" t="s">
        <v>23</v>
      </c>
      <c r="D760" s="1" t="s">
        <v>24</v>
      </c>
      <c r="E760" s="1">
        <v>4</v>
      </c>
      <c r="F760" s="1">
        <v>7000</v>
      </c>
      <c r="G760" s="1">
        <v>28000</v>
      </c>
      <c r="H760" s="1">
        <v>8222</v>
      </c>
      <c r="I760" s="1" t="s">
        <v>15</v>
      </c>
      <c r="J760" s="1">
        <v>5</v>
      </c>
      <c r="K760" s="1" t="s">
        <v>16</v>
      </c>
      <c r="L760" s="1">
        <v>4</v>
      </c>
      <c r="M760" s="1" t="s">
        <v>20</v>
      </c>
      <c r="N760" s="5">
        <f>IF(Tabulka1[[#This Row],[E-shop]]="ano",1,0)</f>
        <v>0</v>
      </c>
      <c r="O760" s="5">
        <f>IF(Tabulka1[[#This Row],[Reklamace]]="ano",1,0)</f>
        <v>1</v>
      </c>
    </row>
    <row r="761" spans="1:15" ht="15.75" customHeight="1" x14ac:dyDescent="0.3">
      <c r="A761" s="1">
        <v>16</v>
      </c>
      <c r="B761" s="2">
        <v>45654</v>
      </c>
      <c r="C761" s="1" t="s">
        <v>18</v>
      </c>
      <c r="D761" s="1" t="s">
        <v>34</v>
      </c>
      <c r="E761" s="1">
        <v>8</v>
      </c>
      <c r="F761" s="1">
        <v>3500</v>
      </c>
      <c r="G761" s="1">
        <v>28000</v>
      </c>
      <c r="H761" s="1">
        <v>5277</v>
      </c>
      <c r="I761" s="1" t="s">
        <v>15</v>
      </c>
      <c r="J761" s="1">
        <v>4</v>
      </c>
      <c r="K761" s="1" t="s">
        <v>15</v>
      </c>
      <c r="L761" s="1">
        <v>6</v>
      </c>
      <c r="M761" s="1" t="s">
        <v>20</v>
      </c>
      <c r="N761" s="5">
        <f>IF(Tabulka1[[#This Row],[E-shop]]="ano",1,0)</f>
        <v>0</v>
      </c>
      <c r="O761" s="5">
        <f>IF(Tabulka1[[#This Row],[Reklamace]]="ano",1,0)</f>
        <v>0</v>
      </c>
    </row>
    <row r="762" spans="1:15" ht="15.75" customHeight="1" x14ac:dyDescent="0.3">
      <c r="A762" s="1">
        <v>55</v>
      </c>
      <c r="B762" s="2">
        <v>45645</v>
      </c>
      <c r="C762" s="1" t="s">
        <v>13</v>
      </c>
      <c r="D762" s="1" t="s">
        <v>45</v>
      </c>
      <c r="E762" s="1">
        <v>8</v>
      </c>
      <c r="F762" s="1">
        <v>3500</v>
      </c>
      <c r="G762" s="1">
        <v>28000</v>
      </c>
      <c r="H762" s="1">
        <v>6053</v>
      </c>
      <c r="I762" s="1" t="s">
        <v>16</v>
      </c>
      <c r="J762" s="1">
        <v>6</v>
      </c>
      <c r="K762" s="1" t="s">
        <v>16</v>
      </c>
      <c r="L762" s="1">
        <v>5</v>
      </c>
      <c r="M762" s="1" t="s">
        <v>20</v>
      </c>
      <c r="N762" s="5">
        <f>IF(Tabulka1[[#This Row],[E-shop]]="ano",1,0)</f>
        <v>1</v>
      </c>
      <c r="O762" s="5">
        <f>IF(Tabulka1[[#This Row],[Reklamace]]="ano",1,0)</f>
        <v>1</v>
      </c>
    </row>
    <row r="763" spans="1:15" ht="15.75" customHeight="1" x14ac:dyDescent="0.3">
      <c r="A763" s="1">
        <v>154</v>
      </c>
      <c r="B763" s="2">
        <v>45649</v>
      </c>
      <c r="C763" s="1" t="s">
        <v>31</v>
      </c>
      <c r="D763" s="1" t="s">
        <v>42</v>
      </c>
      <c r="E763" s="1">
        <v>4</v>
      </c>
      <c r="F763" s="1">
        <v>7000</v>
      </c>
      <c r="G763" s="1">
        <v>28000</v>
      </c>
      <c r="H763" s="1">
        <v>6825</v>
      </c>
      <c r="I763" s="1" t="s">
        <v>15</v>
      </c>
      <c r="J763" s="1">
        <v>3</v>
      </c>
      <c r="K763" s="1" t="s">
        <v>15</v>
      </c>
      <c r="L763" s="1">
        <v>8</v>
      </c>
      <c r="M763" s="1" t="s">
        <v>20</v>
      </c>
      <c r="N763" s="5">
        <f>IF(Tabulka1[[#This Row],[E-shop]]="ano",1,0)</f>
        <v>0</v>
      </c>
      <c r="O763" s="5">
        <f>IF(Tabulka1[[#This Row],[Reklamace]]="ano",1,0)</f>
        <v>0</v>
      </c>
    </row>
    <row r="764" spans="1:15" ht="15.75" customHeight="1" x14ac:dyDescent="0.3">
      <c r="A764" s="1">
        <v>159</v>
      </c>
      <c r="B764" s="2">
        <v>45818</v>
      </c>
      <c r="C764" s="1" t="s">
        <v>31</v>
      </c>
      <c r="D764" s="1" t="s">
        <v>24</v>
      </c>
      <c r="E764" s="1">
        <v>4</v>
      </c>
      <c r="F764" s="1">
        <v>7000</v>
      </c>
      <c r="G764" s="1">
        <v>28000</v>
      </c>
      <c r="H764" s="1">
        <v>5898</v>
      </c>
      <c r="I764" s="1" t="s">
        <v>15</v>
      </c>
      <c r="J764" s="1">
        <v>6</v>
      </c>
      <c r="K764" s="1" t="s">
        <v>15</v>
      </c>
      <c r="L764" s="1">
        <v>4</v>
      </c>
      <c r="M764" s="1" t="s">
        <v>20</v>
      </c>
      <c r="N764" s="5">
        <f>IF(Tabulka1[[#This Row],[E-shop]]="ano",1,0)</f>
        <v>0</v>
      </c>
      <c r="O764" s="5">
        <f>IF(Tabulka1[[#This Row],[Reklamace]]="ano",1,0)</f>
        <v>0</v>
      </c>
    </row>
    <row r="765" spans="1:15" ht="15.75" customHeight="1" x14ac:dyDescent="0.3">
      <c r="A765" s="1">
        <v>301</v>
      </c>
      <c r="B765" s="2">
        <v>45777</v>
      </c>
      <c r="C765" s="1" t="s">
        <v>18</v>
      </c>
      <c r="D765" s="1" t="s">
        <v>40</v>
      </c>
      <c r="E765" s="1">
        <v>2</v>
      </c>
      <c r="F765" s="1">
        <v>14000</v>
      </c>
      <c r="G765" s="1">
        <v>28000</v>
      </c>
      <c r="H765" s="1">
        <v>6369</v>
      </c>
      <c r="I765" s="1" t="s">
        <v>16</v>
      </c>
      <c r="J765" s="1">
        <v>4</v>
      </c>
      <c r="K765" s="1" t="s">
        <v>15</v>
      </c>
      <c r="L765" s="1">
        <v>6</v>
      </c>
      <c r="M765" s="1" t="s">
        <v>20</v>
      </c>
      <c r="N765" s="5">
        <f>IF(Tabulka1[[#This Row],[E-shop]]="ano",1,0)</f>
        <v>1</v>
      </c>
      <c r="O765" s="5">
        <f>IF(Tabulka1[[#This Row],[Reklamace]]="ano",1,0)</f>
        <v>0</v>
      </c>
    </row>
    <row r="766" spans="1:15" ht="15.75" customHeight="1" x14ac:dyDescent="0.3">
      <c r="A766" s="1">
        <v>372</v>
      </c>
      <c r="B766" s="2">
        <v>45880</v>
      </c>
      <c r="C766" s="1" t="s">
        <v>31</v>
      </c>
      <c r="D766" s="1" t="s">
        <v>40</v>
      </c>
      <c r="E766" s="1">
        <v>2</v>
      </c>
      <c r="F766" s="1">
        <v>14000</v>
      </c>
      <c r="G766" s="1">
        <v>28000</v>
      </c>
      <c r="H766" s="1">
        <v>7360</v>
      </c>
      <c r="I766" s="1" t="s">
        <v>15</v>
      </c>
      <c r="J766" s="1">
        <v>5</v>
      </c>
      <c r="K766" s="1" t="s">
        <v>15</v>
      </c>
      <c r="L766" s="1">
        <v>6</v>
      </c>
      <c r="M766" s="1" t="s">
        <v>20</v>
      </c>
      <c r="N766" s="5">
        <f>IF(Tabulka1[[#This Row],[E-shop]]="ano",1,0)</f>
        <v>0</v>
      </c>
      <c r="O766" s="5">
        <f>IF(Tabulka1[[#This Row],[Reklamace]]="ano",1,0)</f>
        <v>0</v>
      </c>
    </row>
    <row r="767" spans="1:15" ht="15.75" customHeight="1" x14ac:dyDescent="0.3">
      <c r="A767" s="1">
        <v>394</v>
      </c>
      <c r="B767" s="2">
        <v>45858</v>
      </c>
      <c r="C767" s="1" t="s">
        <v>25</v>
      </c>
      <c r="D767" s="1" t="s">
        <v>24</v>
      </c>
      <c r="E767" s="1">
        <v>4</v>
      </c>
      <c r="F767" s="1">
        <v>7000</v>
      </c>
      <c r="G767" s="1">
        <v>28000</v>
      </c>
      <c r="H767" s="1">
        <v>4232</v>
      </c>
      <c r="I767" s="1" t="s">
        <v>15</v>
      </c>
      <c r="J767" s="1">
        <v>6</v>
      </c>
      <c r="K767" s="1" t="s">
        <v>16</v>
      </c>
      <c r="L767" s="1">
        <v>3</v>
      </c>
      <c r="M767" s="1" t="s">
        <v>20</v>
      </c>
      <c r="N767" s="5">
        <f>IF(Tabulka1[[#This Row],[E-shop]]="ano",1,0)</f>
        <v>0</v>
      </c>
      <c r="O767" s="5">
        <f>IF(Tabulka1[[#This Row],[Reklamace]]="ano",1,0)</f>
        <v>1</v>
      </c>
    </row>
    <row r="768" spans="1:15" ht="15.75" customHeight="1" x14ac:dyDescent="0.3">
      <c r="A768" s="1">
        <v>656</v>
      </c>
      <c r="B768" s="2">
        <v>45607</v>
      </c>
      <c r="C768" s="1" t="s">
        <v>13</v>
      </c>
      <c r="D768" s="1" t="s">
        <v>24</v>
      </c>
      <c r="E768" s="1">
        <v>4</v>
      </c>
      <c r="F768" s="1">
        <v>7000</v>
      </c>
      <c r="G768" s="1">
        <v>28000</v>
      </c>
      <c r="H768" s="1">
        <v>8096</v>
      </c>
      <c r="I768" s="1" t="s">
        <v>15</v>
      </c>
      <c r="J768" s="1">
        <v>7</v>
      </c>
      <c r="K768" s="1" t="s">
        <v>16</v>
      </c>
      <c r="L768" s="1">
        <v>3</v>
      </c>
      <c r="M768" s="1" t="s">
        <v>20</v>
      </c>
      <c r="N768" s="5">
        <f>IF(Tabulka1[[#This Row],[E-shop]]="ano",1,0)</f>
        <v>0</v>
      </c>
      <c r="O768" s="5">
        <f>IF(Tabulka1[[#This Row],[Reklamace]]="ano",1,0)</f>
        <v>1</v>
      </c>
    </row>
    <row r="769" spans="1:15" ht="15.75" customHeight="1" x14ac:dyDescent="0.3">
      <c r="A769" s="1">
        <v>683</v>
      </c>
      <c r="B769" s="2">
        <v>45373</v>
      </c>
      <c r="C769" s="1" t="s">
        <v>23</v>
      </c>
      <c r="D769" s="1" t="s">
        <v>45</v>
      </c>
      <c r="E769" s="1">
        <v>8</v>
      </c>
      <c r="F769" s="1">
        <v>3500</v>
      </c>
      <c r="G769" s="1">
        <v>28000</v>
      </c>
      <c r="H769" s="1">
        <v>7802</v>
      </c>
      <c r="I769" s="1" t="s">
        <v>16</v>
      </c>
      <c r="J769" s="1">
        <v>4</v>
      </c>
      <c r="K769" s="1" t="s">
        <v>15</v>
      </c>
      <c r="L769" s="1">
        <v>5</v>
      </c>
      <c r="M769" s="1" t="s">
        <v>20</v>
      </c>
      <c r="N769" s="5">
        <f>IF(Tabulka1[[#This Row],[E-shop]]="ano",1,0)</f>
        <v>1</v>
      </c>
      <c r="O769" s="5">
        <f>IF(Tabulka1[[#This Row],[Reklamace]]="ano",1,0)</f>
        <v>0</v>
      </c>
    </row>
    <row r="770" spans="1:15" ht="15.75" customHeight="1" x14ac:dyDescent="0.3">
      <c r="A770" s="1">
        <v>712</v>
      </c>
      <c r="B770" s="2">
        <v>45469</v>
      </c>
      <c r="C770" s="1" t="s">
        <v>36</v>
      </c>
      <c r="D770" s="1" t="s">
        <v>37</v>
      </c>
      <c r="E770" s="1">
        <v>4</v>
      </c>
      <c r="F770" s="1">
        <v>7000</v>
      </c>
      <c r="G770" s="1">
        <v>28000</v>
      </c>
      <c r="H770" s="1">
        <v>5767</v>
      </c>
      <c r="I770" s="1" t="s">
        <v>15</v>
      </c>
      <c r="J770" s="1">
        <v>3</v>
      </c>
      <c r="K770" s="1" t="s">
        <v>15</v>
      </c>
      <c r="L770" s="1">
        <v>5</v>
      </c>
      <c r="M770" s="1" t="s">
        <v>20</v>
      </c>
      <c r="N770" s="5">
        <f>IF(Tabulka1[[#This Row],[E-shop]]="ano",1,0)</f>
        <v>0</v>
      </c>
      <c r="O770" s="5">
        <f>IF(Tabulka1[[#This Row],[Reklamace]]="ano",1,0)</f>
        <v>0</v>
      </c>
    </row>
    <row r="771" spans="1:15" ht="15.75" customHeight="1" x14ac:dyDescent="0.3">
      <c r="A771" s="1">
        <v>785</v>
      </c>
      <c r="B771" s="2">
        <v>45384</v>
      </c>
      <c r="C771" s="1" t="s">
        <v>21</v>
      </c>
      <c r="D771" s="1" t="s">
        <v>24</v>
      </c>
      <c r="E771" s="1">
        <v>4</v>
      </c>
      <c r="F771" s="1">
        <v>7000</v>
      </c>
      <c r="G771" s="1">
        <v>28000</v>
      </c>
      <c r="H771" s="1">
        <v>5170</v>
      </c>
      <c r="I771" s="1" t="s">
        <v>16</v>
      </c>
      <c r="J771" s="1">
        <v>5</v>
      </c>
      <c r="K771" s="1" t="s">
        <v>16</v>
      </c>
      <c r="L771" s="1">
        <v>3</v>
      </c>
      <c r="M771" s="1" t="s">
        <v>17</v>
      </c>
      <c r="N771" s="5">
        <f>IF(Tabulka1[[#This Row],[E-shop]]="ano",1,0)</f>
        <v>1</v>
      </c>
      <c r="O771" s="5">
        <f>IF(Tabulka1[[#This Row],[Reklamace]]="ano",1,0)</f>
        <v>1</v>
      </c>
    </row>
    <row r="772" spans="1:15" ht="15.75" customHeight="1" x14ac:dyDescent="0.3">
      <c r="A772" s="1">
        <v>806</v>
      </c>
      <c r="B772" s="2">
        <v>45986</v>
      </c>
      <c r="C772" s="1" t="s">
        <v>25</v>
      </c>
      <c r="D772" s="1" t="s">
        <v>37</v>
      </c>
      <c r="E772" s="1">
        <v>4</v>
      </c>
      <c r="F772" s="1">
        <v>7000</v>
      </c>
      <c r="G772" s="1">
        <v>28000</v>
      </c>
      <c r="H772" s="1">
        <v>5283</v>
      </c>
      <c r="I772" s="1" t="s">
        <v>16</v>
      </c>
      <c r="J772" s="1">
        <v>2</v>
      </c>
      <c r="K772" s="1" t="s">
        <v>15</v>
      </c>
      <c r="L772" s="1">
        <v>8</v>
      </c>
      <c r="M772" s="1" t="s">
        <v>17</v>
      </c>
      <c r="N772" s="5">
        <f>IF(Tabulka1[[#This Row],[E-shop]]="ano",1,0)</f>
        <v>1</v>
      </c>
      <c r="O772" s="5">
        <f>IF(Tabulka1[[#This Row],[Reklamace]]="ano",1,0)</f>
        <v>0</v>
      </c>
    </row>
    <row r="773" spans="1:15" ht="15.75" customHeight="1" x14ac:dyDescent="0.3">
      <c r="A773" s="1">
        <v>830</v>
      </c>
      <c r="B773" s="2">
        <v>45332</v>
      </c>
      <c r="C773" s="1" t="s">
        <v>31</v>
      </c>
      <c r="D773" s="1" t="s">
        <v>45</v>
      </c>
      <c r="E773" s="1">
        <v>8</v>
      </c>
      <c r="F773" s="1">
        <v>3500</v>
      </c>
      <c r="G773" s="1">
        <v>28000</v>
      </c>
      <c r="H773" s="1">
        <v>7066</v>
      </c>
      <c r="I773" s="1" t="s">
        <v>15</v>
      </c>
      <c r="J773" s="1">
        <v>8</v>
      </c>
      <c r="K773" s="1" t="s">
        <v>16</v>
      </c>
      <c r="L773" s="1">
        <v>3</v>
      </c>
      <c r="M773" s="1" t="s">
        <v>20</v>
      </c>
      <c r="N773" s="5">
        <f>IF(Tabulka1[[#This Row],[E-shop]]="ano",1,0)</f>
        <v>0</v>
      </c>
      <c r="O773" s="5">
        <f>IF(Tabulka1[[#This Row],[Reklamace]]="ano",1,0)</f>
        <v>1</v>
      </c>
    </row>
    <row r="774" spans="1:15" ht="15.75" customHeight="1" x14ac:dyDescent="0.3">
      <c r="A774" s="1">
        <v>1000</v>
      </c>
      <c r="B774" s="2">
        <v>45972</v>
      </c>
      <c r="C774" s="1" t="s">
        <v>25</v>
      </c>
      <c r="D774" s="1" t="s">
        <v>34</v>
      </c>
      <c r="E774" s="1">
        <v>8</v>
      </c>
      <c r="F774" s="1">
        <v>3500</v>
      </c>
      <c r="G774" s="1">
        <v>28000</v>
      </c>
      <c r="H774" s="1">
        <v>5410</v>
      </c>
      <c r="I774" s="1" t="s">
        <v>16</v>
      </c>
      <c r="J774" s="1">
        <v>8</v>
      </c>
      <c r="K774" s="1" t="s">
        <v>15</v>
      </c>
      <c r="L774" s="1">
        <v>1</v>
      </c>
      <c r="M774" s="1" t="s">
        <v>20</v>
      </c>
      <c r="N774" s="5">
        <f>IF(Tabulka1[[#This Row],[E-shop]]="ano",1,0)</f>
        <v>1</v>
      </c>
      <c r="O774" s="5">
        <f>IF(Tabulka1[[#This Row],[Reklamace]]="ano",1,0)</f>
        <v>0</v>
      </c>
    </row>
    <row r="775" spans="1:15" ht="15.75" customHeight="1" x14ac:dyDescent="0.3">
      <c r="A775" s="1">
        <v>441</v>
      </c>
      <c r="B775" s="2">
        <v>45962</v>
      </c>
      <c r="C775" s="1" t="s">
        <v>23</v>
      </c>
      <c r="D775" s="1" t="s">
        <v>39</v>
      </c>
      <c r="E775" s="1">
        <v>11</v>
      </c>
      <c r="F775" s="1">
        <v>2500</v>
      </c>
      <c r="G775" s="1">
        <v>27500</v>
      </c>
      <c r="H775" s="1">
        <v>7071</v>
      </c>
      <c r="I775" s="1" t="s">
        <v>15</v>
      </c>
      <c r="J775" s="1">
        <v>4</v>
      </c>
      <c r="K775" s="1" t="s">
        <v>15</v>
      </c>
      <c r="L775" s="1">
        <v>5</v>
      </c>
      <c r="M775" s="1" t="s">
        <v>20</v>
      </c>
      <c r="N775" s="5">
        <f>IF(Tabulka1[[#This Row],[E-shop]]="ano",1,0)</f>
        <v>0</v>
      </c>
      <c r="O775" s="5">
        <f>IF(Tabulka1[[#This Row],[Reklamace]]="ano",1,0)</f>
        <v>0</v>
      </c>
    </row>
    <row r="776" spans="1:15" ht="15.75" customHeight="1" x14ac:dyDescent="0.3">
      <c r="A776" s="1">
        <v>783</v>
      </c>
      <c r="B776" s="2">
        <v>45876</v>
      </c>
      <c r="C776" s="1" t="s">
        <v>25</v>
      </c>
      <c r="D776" s="1" t="s">
        <v>39</v>
      </c>
      <c r="E776" s="1">
        <v>11</v>
      </c>
      <c r="F776" s="1">
        <v>2500</v>
      </c>
      <c r="G776" s="1">
        <v>27500</v>
      </c>
      <c r="H776" s="1">
        <v>5994</v>
      </c>
      <c r="I776" s="1" t="s">
        <v>15</v>
      </c>
      <c r="J776" s="1">
        <v>6</v>
      </c>
      <c r="K776" s="1" t="s">
        <v>16</v>
      </c>
      <c r="L776" s="1">
        <v>4</v>
      </c>
      <c r="M776" s="1" t="s">
        <v>20</v>
      </c>
      <c r="N776" s="5">
        <f>IF(Tabulka1[[#This Row],[E-shop]]="ano",1,0)</f>
        <v>0</v>
      </c>
      <c r="O776" s="5">
        <f>IF(Tabulka1[[#This Row],[Reklamace]]="ano",1,0)</f>
        <v>1</v>
      </c>
    </row>
    <row r="777" spans="1:15" ht="15.75" customHeight="1" x14ac:dyDescent="0.3">
      <c r="A777" s="1">
        <v>786</v>
      </c>
      <c r="B777" s="2">
        <v>45915</v>
      </c>
      <c r="C777" s="1" t="s">
        <v>31</v>
      </c>
      <c r="D777" s="1" t="s">
        <v>39</v>
      </c>
      <c r="E777" s="1">
        <v>11</v>
      </c>
      <c r="F777" s="1">
        <v>2500</v>
      </c>
      <c r="G777" s="1">
        <v>27500</v>
      </c>
      <c r="H777" s="1">
        <v>4737</v>
      </c>
      <c r="I777" s="1" t="s">
        <v>16</v>
      </c>
      <c r="J777" s="1">
        <v>5</v>
      </c>
      <c r="K777" s="1" t="s">
        <v>15</v>
      </c>
      <c r="L777" s="1">
        <v>5</v>
      </c>
      <c r="M777" s="1" t="s">
        <v>17</v>
      </c>
      <c r="N777" s="5">
        <f>IF(Tabulka1[[#This Row],[E-shop]]="ano",1,0)</f>
        <v>1</v>
      </c>
      <c r="O777" s="5">
        <f>IF(Tabulka1[[#This Row],[Reklamace]]="ano",1,0)</f>
        <v>0</v>
      </c>
    </row>
    <row r="778" spans="1:15" ht="15.75" customHeight="1" x14ac:dyDescent="0.3">
      <c r="A778" s="1">
        <v>2</v>
      </c>
      <c r="B778" s="2">
        <v>45507</v>
      </c>
      <c r="C778" s="1" t="s">
        <v>18</v>
      </c>
      <c r="D778" s="1" t="s">
        <v>19</v>
      </c>
      <c r="E778" s="1">
        <v>3</v>
      </c>
      <c r="F778" s="1">
        <v>9000</v>
      </c>
      <c r="G778" s="1">
        <v>27000</v>
      </c>
      <c r="H778" s="1">
        <v>5347</v>
      </c>
      <c r="I778" s="1" t="s">
        <v>15</v>
      </c>
      <c r="J778" s="1">
        <v>4</v>
      </c>
      <c r="K778" s="1" t="s">
        <v>15</v>
      </c>
      <c r="L778" s="1">
        <v>7</v>
      </c>
      <c r="M778" s="1" t="s">
        <v>20</v>
      </c>
      <c r="N778" s="5">
        <f>IF(Tabulka1[[#This Row],[E-shop]]="ano",1,0)</f>
        <v>0</v>
      </c>
      <c r="O778" s="5">
        <f>IF(Tabulka1[[#This Row],[Reklamace]]="ano",1,0)</f>
        <v>0</v>
      </c>
    </row>
    <row r="779" spans="1:15" ht="15.75" customHeight="1" x14ac:dyDescent="0.3">
      <c r="A779" s="1">
        <v>61</v>
      </c>
      <c r="B779" s="2">
        <v>45387</v>
      </c>
      <c r="C779" s="1" t="s">
        <v>13</v>
      </c>
      <c r="D779" s="1" t="s">
        <v>38</v>
      </c>
      <c r="E779" s="1">
        <v>3</v>
      </c>
      <c r="F779" s="1">
        <v>9000</v>
      </c>
      <c r="G779" s="1">
        <v>27000</v>
      </c>
      <c r="H779" s="1">
        <v>6103</v>
      </c>
      <c r="I779" s="1" t="s">
        <v>15</v>
      </c>
      <c r="J779" s="1">
        <v>6</v>
      </c>
      <c r="K779" s="1" t="s">
        <v>16</v>
      </c>
      <c r="L779" s="1">
        <v>3</v>
      </c>
      <c r="M779" s="1" t="s">
        <v>20</v>
      </c>
      <c r="N779" s="5">
        <f>IF(Tabulka1[[#This Row],[E-shop]]="ano",1,0)</f>
        <v>0</v>
      </c>
      <c r="O779" s="5">
        <f>IF(Tabulka1[[#This Row],[Reklamace]]="ano",1,0)</f>
        <v>1</v>
      </c>
    </row>
    <row r="780" spans="1:15" ht="15.75" customHeight="1" x14ac:dyDescent="0.3">
      <c r="A780" s="1">
        <v>243</v>
      </c>
      <c r="B780" s="2">
        <v>45361</v>
      </c>
      <c r="C780" s="1" t="s">
        <v>23</v>
      </c>
      <c r="D780" s="1" t="s">
        <v>38</v>
      </c>
      <c r="E780" s="1">
        <v>3</v>
      </c>
      <c r="F780" s="1">
        <v>9000</v>
      </c>
      <c r="G780" s="1">
        <v>27000</v>
      </c>
      <c r="H780" s="1">
        <v>6370</v>
      </c>
      <c r="I780" s="1" t="s">
        <v>15</v>
      </c>
      <c r="J780" s="1">
        <v>7</v>
      </c>
      <c r="K780" s="1" t="s">
        <v>16</v>
      </c>
      <c r="L780" s="1">
        <v>1</v>
      </c>
      <c r="M780" s="1" t="s">
        <v>20</v>
      </c>
      <c r="N780" s="5">
        <f>IF(Tabulka1[[#This Row],[E-shop]]="ano",1,0)</f>
        <v>0</v>
      </c>
      <c r="O780" s="5">
        <f>IF(Tabulka1[[#This Row],[Reklamace]]="ano",1,0)</f>
        <v>1</v>
      </c>
    </row>
    <row r="781" spans="1:15" ht="15.75" customHeight="1" x14ac:dyDescent="0.3">
      <c r="A781" s="1">
        <v>313</v>
      </c>
      <c r="B781" s="2">
        <v>45327</v>
      </c>
      <c r="C781" s="1" t="s">
        <v>13</v>
      </c>
      <c r="D781" s="1" t="s">
        <v>19</v>
      </c>
      <c r="E781" s="1">
        <v>3</v>
      </c>
      <c r="F781" s="1">
        <v>9000</v>
      </c>
      <c r="G781" s="1">
        <v>27000</v>
      </c>
      <c r="H781" s="1">
        <v>4614</v>
      </c>
      <c r="I781" s="1" t="s">
        <v>16</v>
      </c>
      <c r="J781" s="1">
        <v>2</v>
      </c>
      <c r="K781" s="1" t="s">
        <v>15</v>
      </c>
      <c r="L781" s="1">
        <v>8</v>
      </c>
      <c r="M781" s="1" t="s">
        <v>20</v>
      </c>
      <c r="N781" s="5">
        <f>IF(Tabulka1[[#This Row],[E-shop]]="ano",1,0)</f>
        <v>1</v>
      </c>
      <c r="O781" s="5">
        <f>IF(Tabulka1[[#This Row],[Reklamace]]="ano",1,0)</f>
        <v>0</v>
      </c>
    </row>
    <row r="782" spans="1:15" ht="15.75" customHeight="1" x14ac:dyDescent="0.3">
      <c r="A782" s="1">
        <v>609</v>
      </c>
      <c r="B782" s="2">
        <v>45628</v>
      </c>
      <c r="C782" s="1" t="s">
        <v>31</v>
      </c>
      <c r="D782" s="1" t="s">
        <v>46</v>
      </c>
      <c r="E782" s="1">
        <v>9</v>
      </c>
      <c r="F782" s="1">
        <v>3000</v>
      </c>
      <c r="G782" s="1">
        <v>27000</v>
      </c>
      <c r="H782" s="1">
        <v>6028</v>
      </c>
      <c r="I782" s="1" t="s">
        <v>15</v>
      </c>
      <c r="J782" s="1">
        <v>8</v>
      </c>
      <c r="K782" s="1" t="s">
        <v>16</v>
      </c>
      <c r="L782" s="1">
        <v>1</v>
      </c>
      <c r="M782" s="1" t="s">
        <v>20</v>
      </c>
      <c r="N782" s="5">
        <f>IF(Tabulka1[[#This Row],[E-shop]]="ano",1,0)</f>
        <v>0</v>
      </c>
      <c r="O782" s="5">
        <f>IF(Tabulka1[[#This Row],[Reklamace]]="ano",1,0)</f>
        <v>1</v>
      </c>
    </row>
    <row r="783" spans="1:15" ht="15.75" customHeight="1" x14ac:dyDescent="0.3">
      <c r="A783" s="1">
        <v>618</v>
      </c>
      <c r="B783" s="2">
        <v>45909</v>
      </c>
      <c r="C783" s="1" t="s">
        <v>13</v>
      </c>
      <c r="D783" s="1" t="s">
        <v>38</v>
      </c>
      <c r="E783" s="1">
        <v>3</v>
      </c>
      <c r="F783" s="1">
        <v>9000</v>
      </c>
      <c r="G783" s="1">
        <v>27000</v>
      </c>
      <c r="H783" s="1">
        <v>4575</v>
      </c>
      <c r="I783" s="1" t="s">
        <v>15</v>
      </c>
      <c r="J783" s="1">
        <v>4</v>
      </c>
      <c r="K783" s="1" t="s">
        <v>16</v>
      </c>
      <c r="L783" s="1">
        <v>5</v>
      </c>
      <c r="M783" s="1" t="s">
        <v>20</v>
      </c>
      <c r="N783" s="5">
        <f>IF(Tabulka1[[#This Row],[E-shop]]="ano",1,0)</f>
        <v>0</v>
      </c>
      <c r="O783" s="5">
        <f>IF(Tabulka1[[#This Row],[Reklamace]]="ano",1,0)</f>
        <v>1</v>
      </c>
    </row>
    <row r="784" spans="1:15" ht="15.75" customHeight="1" x14ac:dyDescent="0.3">
      <c r="A784" s="1">
        <v>79</v>
      </c>
      <c r="B784" s="2">
        <v>45963</v>
      </c>
      <c r="C784" s="1" t="s">
        <v>25</v>
      </c>
      <c r="D784" s="1" t="s">
        <v>41</v>
      </c>
      <c r="E784" s="1">
        <v>5</v>
      </c>
      <c r="F784" s="1">
        <v>5000</v>
      </c>
      <c r="G784" s="1">
        <v>25000</v>
      </c>
      <c r="H784" s="1">
        <v>6564</v>
      </c>
      <c r="I784" s="1" t="s">
        <v>16</v>
      </c>
      <c r="J784" s="1">
        <v>5</v>
      </c>
      <c r="K784" s="1" t="s">
        <v>15</v>
      </c>
      <c r="L784" s="1">
        <v>6</v>
      </c>
      <c r="M784" s="1" t="s">
        <v>20</v>
      </c>
      <c r="N784" s="5">
        <f>IF(Tabulka1[[#This Row],[E-shop]]="ano",1,0)</f>
        <v>1</v>
      </c>
      <c r="O784" s="5">
        <f>IF(Tabulka1[[#This Row],[Reklamace]]="ano",1,0)</f>
        <v>0</v>
      </c>
    </row>
    <row r="785" spans="1:15" ht="15.75" customHeight="1" x14ac:dyDescent="0.3">
      <c r="A785" s="1">
        <v>149</v>
      </c>
      <c r="B785" s="2">
        <v>45700</v>
      </c>
      <c r="C785" s="1" t="s">
        <v>18</v>
      </c>
      <c r="D785" s="1" t="s">
        <v>39</v>
      </c>
      <c r="E785" s="1">
        <v>10</v>
      </c>
      <c r="F785" s="1">
        <v>2500</v>
      </c>
      <c r="G785" s="1">
        <v>25000</v>
      </c>
      <c r="H785" s="1">
        <v>4141</v>
      </c>
      <c r="I785" s="1" t="s">
        <v>15</v>
      </c>
      <c r="J785" s="1">
        <v>9</v>
      </c>
      <c r="K785" s="1" t="s">
        <v>16</v>
      </c>
      <c r="L785" s="1">
        <v>2</v>
      </c>
      <c r="M785" s="1" t="s">
        <v>20</v>
      </c>
      <c r="N785" s="5">
        <f>IF(Tabulka1[[#This Row],[E-shop]]="ano",1,0)</f>
        <v>0</v>
      </c>
      <c r="O785" s="5">
        <f>IF(Tabulka1[[#This Row],[Reklamace]]="ano",1,0)</f>
        <v>1</v>
      </c>
    </row>
    <row r="786" spans="1:15" ht="15.75" customHeight="1" x14ac:dyDescent="0.3">
      <c r="A786" s="1">
        <v>336</v>
      </c>
      <c r="B786" s="2">
        <v>45581</v>
      </c>
      <c r="C786" s="1" t="s">
        <v>18</v>
      </c>
      <c r="D786" s="1" t="s">
        <v>41</v>
      </c>
      <c r="E786" s="1">
        <v>5</v>
      </c>
      <c r="F786" s="1">
        <v>5000</v>
      </c>
      <c r="G786" s="1">
        <v>25000</v>
      </c>
      <c r="H786" s="1">
        <v>6839</v>
      </c>
      <c r="I786" s="1" t="s">
        <v>15</v>
      </c>
      <c r="J786" s="1">
        <v>7</v>
      </c>
      <c r="K786" s="1" t="s">
        <v>16</v>
      </c>
      <c r="L786" s="1">
        <v>3</v>
      </c>
      <c r="M786" s="1" t="s">
        <v>20</v>
      </c>
      <c r="N786" s="5">
        <f>IF(Tabulka1[[#This Row],[E-shop]]="ano",1,0)</f>
        <v>0</v>
      </c>
      <c r="O786" s="5">
        <f>IF(Tabulka1[[#This Row],[Reklamace]]="ano",1,0)</f>
        <v>1</v>
      </c>
    </row>
    <row r="787" spans="1:15" ht="15.75" customHeight="1" x14ac:dyDescent="0.3">
      <c r="A787" s="1">
        <v>461</v>
      </c>
      <c r="B787" s="2">
        <v>45675</v>
      </c>
      <c r="C787" s="1" t="s">
        <v>21</v>
      </c>
      <c r="D787" s="1" t="s">
        <v>39</v>
      </c>
      <c r="E787" s="1">
        <v>10</v>
      </c>
      <c r="F787" s="1">
        <v>2500</v>
      </c>
      <c r="G787" s="1">
        <v>25000</v>
      </c>
      <c r="H787" s="1">
        <v>4272</v>
      </c>
      <c r="I787" s="1" t="s">
        <v>15</v>
      </c>
      <c r="J787" s="1">
        <v>9</v>
      </c>
      <c r="K787" s="1" t="s">
        <v>15</v>
      </c>
      <c r="L787" s="1">
        <v>2</v>
      </c>
      <c r="M787" s="1" t="s">
        <v>20</v>
      </c>
      <c r="N787" s="5">
        <f>IF(Tabulka1[[#This Row],[E-shop]]="ano",1,0)</f>
        <v>0</v>
      </c>
      <c r="O787" s="5">
        <f>IF(Tabulka1[[#This Row],[Reklamace]]="ano",1,0)</f>
        <v>0</v>
      </c>
    </row>
    <row r="788" spans="1:15" ht="15.75" customHeight="1" x14ac:dyDescent="0.3">
      <c r="A788" s="1">
        <v>560</v>
      </c>
      <c r="B788" s="2">
        <v>45372</v>
      </c>
      <c r="C788" s="1" t="s">
        <v>21</v>
      </c>
      <c r="D788" s="1" t="s">
        <v>47</v>
      </c>
      <c r="E788" s="1">
        <v>1</v>
      </c>
      <c r="F788" s="1">
        <v>25000</v>
      </c>
      <c r="G788" s="1">
        <v>25000</v>
      </c>
      <c r="H788" s="1">
        <v>5000</v>
      </c>
      <c r="I788" s="1" t="s">
        <v>16</v>
      </c>
      <c r="J788" s="1">
        <v>2</v>
      </c>
      <c r="K788" s="1" t="s">
        <v>15</v>
      </c>
      <c r="L788" s="1">
        <v>9</v>
      </c>
      <c r="M788" s="1" t="s">
        <v>20</v>
      </c>
      <c r="N788" s="5">
        <f>IF(Tabulka1[[#This Row],[E-shop]]="ano",1,0)</f>
        <v>1</v>
      </c>
      <c r="O788" s="5">
        <f>IF(Tabulka1[[#This Row],[Reklamace]]="ano",1,0)</f>
        <v>0</v>
      </c>
    </row>
    <row r="789" spans="1:15" ht="15.75" customHeight="1" x14ac:dyDescent="0.3">
      <c r="A789" s="1">
        <v>226</v>
      </c>
      <c r="B789" s="2">
        <v>45684</v>
      </c>
      <c r="C789" s="1" t="s">
        <v>23</v>
      </c>
      <c r="D789" s="1" t="s">
        <v>45</v>
      </c>
      <c r="E789" s="1">
        <v>7</v>
      </c>
      <c r="F789" s="1">
        <v>3500</v>
      </c>
      <c r="G789" s="1">
        <v>24500</v>
      </c>
      <c r="H789" s="1">
        <v>4738</v>
      </c>
      <c r="I789" s="1" t="s">
        <v>15</v>
      </c>
      <c r="J789" s="1">
        <v>2</v>
      </c>
      <c r="K789" s="1" t="s">
        <v>15</v>
      </c>
      <c r="L789" s="1">
        <v>7</v>
      </c>
      <c r="M789" s="1" t="s">
        <v>20</v>
      </c>
      <c r="N789" s="5">
        <f>IF(Tabulka1[[#This Row],[E-shop]]="ano",1,0)</f>
        <v>0</v>
      </c>
      <c r="O789" s="5">
        <f>IF(Tabulka1[[#This Row],[Reklamace]]="ano",1,0)</f>
        <v>0</v>
      </c>
    </row>
    <row r="790" spans="1:15" ht="15.75" customHeight="1" x14ac:dyDescent="0.3">
      <c r="A790" s="1">
        <v>499</v>
      </c>
      <c r="B790" s="2">
        <v>45538</v>
      </c>
      <c r="C790" s="1" t="s">
        <v>31</v>
      </c>
      <c r="D790" s="1" t="s">
        <v>45</v>
      </c>
      <c r="E790" s="1">
        <v>7</v>
      </c>
      <c r="F790" s="1">
        <v>3500</v>
      </c>
      <c r="G790" s="1">
        <v>24500</v>
      </c>
      <c r="H790" s="1">
        <v>4923</v>
      </c>
      <c r="I790" s="1" t="s">
        <v>16</v>
      </c>
      <c r="J790" s="1">
        <v>4</v>
      </c>
      <c r="K790" s="1" t="s">
        <v>15</v>
      </c>
      <c r="L790" s="1">
        <v>4</v>
      </c>
      <c r="M790" s="1" t="s">
        <v>20</v>
      </c>
      <c r="N790" s="5">
        <f>IF(Tabulka1[[#This Row],[E-shop]]="ano",1,0)</f>
        <v>1</v>
      </c>
      <c r="O790" s="5">
        <f>IF(Tabulka1[[#This Row],[Reklamace]]="ano",1,0)</f>
        <v>0</v>
      </c>
    </row>
    <row r="791" spans="1:15" ht="15.75" customHeight="1" x14ac:dyDescent="0.3">
      <c r="A791" s="1">
        <v>689</v>
      </c>
      <c r="B791" s="2">
        <v>45896</v>
      </c>
      <c r="C791" s="1" t="s">
        <v>18</v>
      </c>
      <c r="D791" s="1" t="s">
        <v>45</v>
      </c>
      <c r="E791" s="1">
        <v>7</v>
      </c>
      <c r="F791" s="1">
        <v>3500</v>
      </c>
      <c r="G791" s="1">
        <v>24500</v>
      </c>
      <c r="H791" s="1">
        <v>6093</v>
      </c>
      <c r="I791" s="1" t="s">
        <v>15</v>
      </c>
      <c r="J791" s="1">
        <v>8</v>
      </c>
      <c r="K791" s="1" t="s">
        <v>16</v>
      </c>
      <c r="L791" s="1">
        <v>2</v>
      </c>
      <c r="M791" s="1" t="s">
        <v>20</v>
      </c>
      <c r="N791" s="5">
        <f>IF(Tabulka1[[#This Row],[E-shop]]="ano",1,0)</f>
        <v>0</v>
      </c>
      <c r="O791" s="5">
        <f>IF(Tabulka1[[#This Row],[Reklamace]]="ano",1,0)</f>
        <v>1</v>
      </c>
    </row>
    <row r="792" spans="1:15" ht="15.75" customHeight="1" x14ac:dyDescent="0.3">
      <c r="A792" s="1">
        <v>835</v>
      </c>
      <c r="B792" s="2">
        <v>45375</v>
      </c>
      <c r="C792" s="1" t="s">
        <v>25</v>
      </c>
      <c r="D792" s="1" t="s">
        <v>45</v>
      </c>
      <c r="E792" s="1">
        <v>7</v>
      </c>
      <c r="F792" s="1">
        <v>3500</v>
      </c>
      <c r="G792" s="1">
        <v>24500</v>
      </c>
      <c r="H792" s="1">
        <v>7289</v>
      </c>
      <c r="I792" s="1" t="s">
        <v>15</v>
      </c>
      <c r="J792" s="1">
        <v>6</v>
      </c>
      <c r="K792" s="1" t="s">
        <v>16</v>
      </c>
      <c r="L792" s="1">
        <v>2</v>
      </c>
      <c r="M792" s="1" t="s">
        <v>20</v>
      </c>
      <c r="N792" s="5">
        <f>IF(Tabulka1[[#This Row],[E-shop]]="ano",1,0)</f>
        <v>0</v>
      </c>
      <c r="O792" s="5">
        <f>IF(Tabulka1[[#This Row],[Reklamace]]="ano",1,0)</f>
        <v>1</v>
      </c>
    </row>
    <row r="793" spans="1:15" ht="15.75" customHeight="1" x14ac:dyDescent="0.3">
      <c r="A793" s="1">
        <v>935</v>
      </c>
      <c r="B793" s="2">
        <v>45419</v>
      </c>
      <c r="C793" s="1" t="s">
        <v>25</v>
      </c>
      <c r="D793" s="1" t="s">
        <v>45</v>
      </c>
      <c r="E793" s="1">
        <v>7</v>
      </c>
      <c r="F793" s="1">
        <v>3500</v>
      </c>
      <c r="G793" s="1">
        <v>24500</v>
      </c>
      <c r="H793" s="1">
        <v>4745</v>
      </c>
      <c r="I793" s="1" t="s">
        <v>16</v>
      </c>
      <c r="J793" s="1">
        <v>5</v>
      </c>
      <c r="K793" s="1" t="s">
        <v>16</v>
      </c>
      <c r="L793" s="1">
        <v>4</v>
      </c>
      <c r="M793" s="1" t="s">
        <v>20</v>
      </c>
      <c r="N793" s="5">
        <f>IF(Tabulka1[[#This Row],[E-shop]]="ano",1,0)</f>
        <v>1</v>
      </c>
      <c r="O793" s="5">
        <f>IF(Tabulka1[[#This Row],[Reklamace]]="ano",1,0)</f>
        <v>1</v>
      </c>
    </row>
    <row r="794" spans="1:15" ht="15.75" customHeight="1" x14ac:dyDescent="0.3">
      <c r="A794" s="1">
        <v>6</v>
      </c>
      <c r="B794" s="2">
        <v>45403</v>
      </c>
      <c r="C794" s="1" t="s">
        <v>25</v>
      </c>
      <c r="D794" s="1" t="s">
        <v>26</v>
      </c>
      <c r="E794" s="1">
        <v>2</v>
      </c>
      <c r="F794" s="1">
        <v>12000</v>
      </c>
      <c r="G794" s="1">
        <v>24000</v>
      </c>
      <c r="H794" s="1">
        <v>6923</v>
      </c>
      <c r="I794" s="1" t="s">
        <v>15</v>
      </c>
      <c r="J794" s="1">
        <v>6</v>
      </c>
      <c r="K794" s="1" t="s">
        <v>15</v>
      </c>
      <c r="L794" s="1">
        <v>5</v>
      </c>
      <c r="M794" s="1" t="s">
        <v>20</v>
      </c>
      <c r="N794" s="5">
        <f>IF(Tabulka1[[#This Row],[E-shop]]="ano",1,0)</f>
        <v>0</v>
      </c>
      <c r="O794" s="5">
        <f>IF(Tabulka1[[#This Row],[Reklamace]]="ano",1,0)</f>
        <v>0</v>
      </c>
    </row>
    <row r="795" spans="1:15" ht="15.75" customHeight="1" x14ac:dyDescent="0.3">
      <c r="A795" s="1">
        <v>107</v>
      </c>
      <c r="B795" s="2">
        <v>45952</v>
      </c>
      <c r="C795" s="1" t="s">
        <v>18</v>
      </c>
      <c r="D795" s="1" t="s">
        <v>35</v>
      </c>
      <c r="E795" s="1">
        <v>2</v>
      </c>
      <c r="F795" s="1">
        <v>12000</v>
      </c>
      <c r="G795" s="1">
        <v>24000</v>
      </c>
      <c r="H795" s="1">
        <v>3907</v>
      </c>
      <c r="I795" s="1" t="s">
        <v>15</v>
      </c>
      <c r="J795" s="1">
        <v>7</v>
      </c>
      <c r="K795" s="1" t="s">
        <v>16</v>
      </c>
      <c r="L795" s="1">
        <v>1</v>
      </c>
      <c r="M795" s="1" t="s">
        <v>20</v>
      </c>
      <c r="N795" s="5">
        <f>IF(Tabulka1[[#This Row],[E-shop]]="ano",1,0)</f>
        <v>0</v>
      </c>
      <c r="O795" s="5">
        <f>IF(Tabulka1[[#This Row],[Reklamace]]="ano",1,0)</f>
        <v>1</v>
      </c>
    </row>
    <row r="796" spans="1:15" ht="15.75" customHeight="1" x14ac:dyDescent="0.3">
      <c r="A796" s="1">
        <v>125</v>
      </c>
      <c r="B796" s="2">
        <v>45671</v>
      </c>
      <c r="C796" s="1" t="s">
        <v>21</v>
      </c>
      <c r="D796" s="1" t="s">
        <v>33</v>
      </c>
      <c r="E796" s="1">
        <v>4</v>
      </c>
      <c r="F796" s="1">
        <v>6000</v>
      </c>
      <c r="G796" s="1">
        <v>24000</v>
      </c>
      <c r="H796" s="1">
        <v>6826</v>
      </c>
      <c r="I796" s="1" t="s">
        <v>16</v>
      </c>
      <c r="J796" s="1">
        <v>4</v>
      </c>
      <c r="K796" s="1" t="s">
        <v>15</v>
      </c>
      <c r="L796" s="1">
        <v>4</v>
      </c>
      <c r="M796" s="1" t="s">
        <v>20</v>
      </c>
      <c r="N796" s="5">
        <f>IF(Tabulka1[[#This Row],[E-shop]]="ano",1,0)</f>
        <v>1</v>
      </c>
      <c r="O796" s="5">
        <f>IF(Tabulka1[[#This Row],[Reklamace]]="ano",1,0)</f>
        <v>0</v>
      </c>
    </row>
    <row r="797" spans="1:15" ht="15.75" customHeight="1" x14ac:dyDescent="0.3">
      <c r="A797" s="1">
        <v>143</v>
      </c>
      <c r="B797" s="2">
        <v>45418</v>
      </c>
      <c r="C797" s="1" t="s">
        <v>23</v>
      </c>
      <c r="D797" s="1" t="s">
        <v>30</v>
      </c>
      <c r="E797" s="1">
        <v>3</v>
      </c>
      <c r="F797" s="1">
        <v>8000</v>
      </c>
      <c r="G797" s="1">
        <v>24000</v>
      </c>
      <c r="H797" s="1">
        <v>5452</v>
      </c>
      <c r="I797" s="1" t="s">
        <v>15</v>
      </c>
      <c r="J797" s="1">
        <v>2</v>
      </c>
      <c r="K797" s="1" t="s">
        <v>15</v>
      </c>
      <c r="L797" s="1">
        <v>7</v>
      </c>
      <c r="M797" s="1" t="s">
        <v>20</v>
      </c>
      <c r="N797" s="5">
        <f>IF(Tabulka1[[#This Row],[E-shop]]="ano",1,0)</f>
        <v>0</v>
      </c>
      <c r="O797" s="5">
        <f>IF(Tabulka1[[#This Row],[Reklamace]]="ano",1,0)</f>
        <v>0</v>
      </c>
    </row>
    <row r="798" spans="1:15" ht="15.75" customHeight="1" x14ac:dyDescent="0.3">
      <c r="A798" s="1">
        <v>184</v>
      </c>
      <c r="B798" s="2">
        <v>45760</v>
      </c>
      <c r="C798" s="1" t="s">
        <v>23</v>
      </c>
      <c r="D798" s="1" t="s">
        <v>27</v>
      </c>
      <c r="E798" s="1">
        <v>6</v>
      </c>
      <c r="F798" s="1">
        <v>4000</v>
      </c>
      <c r="G798" s="1">
        <v>24000</v>
      </c>
      <c r="H798" s="1">
        <v>5309</v>
      </c>
      <c r="I798" s="1" t="s">
        <v>15</v>
      </c>
      <c r="J798" s="1">
        <v>6</v>
      </c>
      <c r="K798" s="1" t="s">
        <v>16</v>
      </c>
      <c r="L798" s="1">
        <v>2</v>
      </c>
      <c r="M798" s="1" t="s">
        <v>20</v>
      </c>
      <c r="N798" s="5">
        <f>IF(Tabulka1[[#This Row],[E-shop]]="ano",1,0)</f>
        <v>0</v>
      </c>
      <c r="O798" s="5">
        <f>IF(Tabulka1[[#This Row],[Reklamace]]="ano",1,0)</f>
        <v>1</v>
      </c>
    </row>
    <row r="799" spans="1:15" ht="15.75" customHeight="1" x14ac:dyDescent="0.3">
      <c r="A799" s="1">
        <v>207</v>
      </c>
      <c r="B799" s="2">
        <v>45645</v>
      </c>
      <c r="C799" s="1" t="s">
        <v>18</v>
      </c>
      <c r="D799" s="1" t="s">
        <v>46</v>
      </c>
      <c r="E799" s="1">
        <v>8</v>
      </c>
      <c r="F799" s="1">
        <v>3000</v>
      </c>
      <c r="G799" s="1">
        <v>24000</v>
      </c>
      <c r="H799" s="1">
        <v>4787</v>
      </c>
      <c r="I799" s="1" t="s">
        <v>15</v>
      </c>
      <c r="J799" s="1">
        <v>3</v>
      </c>
      <c r="K799" s="1" t="s">
        <v>15</v>
      </c>
      <c r="L799" s="1">
        <v>6</v>
      </c>
      <c r="M799" s="1" t="s">
        <v>20</v>
      </c>
      <c r="N799" s="5">
        <f>IF(Tabulka1[[#This Row],[E-shop]]="ano",1,0)</f>
        <v>0</v>
      </c>
      <c r="O799" s="5">
        <f>IF(Tabulka1[[#This Row],[Reklamace]]="ano",1,0)</f>
        <v>0</v>
      </c>
    </row>
    <row r="800" spans="1:15" ht="15.75" customHeight="1" x14ac:dyDescent="0.3">
      <c r="A800" s="1">
        <v>255</v>
      </c>
      <c r="B800" s="2">
        <v>45685</v>
      </c>
      <c r="C800" s="1" t="s">
        <v>36</v>
      </c>
      <c r="D800" s="1" t="s">
        <v>27</v>
      </c>
      <c r="E800" s="1">
        <v>6</v>
      </c>
      <c r="F800" s="1">
        <v>4000</v>
      </c>
      <c r="G800" s="1">
        <v>24000</v>
      </c>
      <c r="H800" s="1">
        <v>4568</v>
      </c>
      <c r="I800" s="1" t="s">
        <v>16</v>
      </c>
      <c r="J800" s="1">
        <v>2</v>
      </c>
      <c r="K800" s="1" t="s">
        <v>15</v>
      </c>
      <c r="L800" s="1">
        <v>6</v>
      </c>
      <c r="M800" s="1" t="s">
        <v>20</v>
      </c>
      <c r="N800" s="5">
        <f>IF(Tabulka1[[#This Row],[E-shop]]="ano",1,0)</f>
        <v>1</v>
      </c>
      <c r="O800" s="5">
        <f>IF(Tabulka1[[#This Row],[Reklamace]]="ano",1,0)</f>
        <v>0</v>
      </c>
    </row>
    <row r="801" spans="1:15" ht="15.75" customHeight="1" x14ac:dyDescent="0.3">
      <c r="A801" s="1">
        <v>322</v>
      </c>
      <c r="B801" s="2">
        <v>45953</v>
      </c>
      <c r="C801" s="1" t="s">
        <v>25</v>
      </c>
      <c r="D801" s="1" t="s">
        <v>14</v>
      </c>
      <c r="E801" s="1">
        <v>2</v>
      </c>
      <c r="F801" s="1">
        <v>12000</v>
      </c>
      <c r="G801" s="1">
        <v>24000</v>
      </c>
      <c r="H801" s="1">
        <v>3926</v>
      </c>
      <c r="I801" s="1" t="s">
        <v>15</v>
      </c>
      <c r="J801" s="1">
        <v>2</v>
      </c>
      <c r="K801" s="1" t="s">
        <v>15</v>
      </c>
      <c r="L801" s="1">
        <v>7</v>
      </c>
      <c r="M801" s="1" t="s">
        <v>20</v>
      </c>
      <c r="N801" s="5">
        <f>IF(Tabulka1[[#This Row],[E-shop]]="ano",1,0)</f>
        <v>0</v>
      </c>
      <c r="O801" s="5">
        <f>IF(Tabulka1[[#This Row],[Reklamace]]="ano",1,0)</f>
        <v>0</v>
      </c>
    </row>
    <row r="802" spans="1:15" ht="15.75" customHeight="1" x14ac:dyDescent="0.3">
      <c r="A802" s="1">
        <v>347</v>
      </c>
      <c r="B802" s="2">
        <v>45511</v>
      </c>
      <c r="C802" s="1" t="s">
        <v>13</v>
      </c>
      <c r="D802" s="1" t="s">
        <v>33</v>
      </c>
      <c r="E802" s="1">
        <v>4</v>
      </c>
      <c r="F802" s="1">
        <v>6000</v>
      </c>
      <c r="G802" s="1">
        <v>24000</v>
      </c>
      <c r="H802" s="1">
        <v>6852</v>
      </c>
      <c r="I802" s="1" t="s">
        <v>16</v>
      </c>
      <c r="J802" s="1">
        <v>2</v>
      </c>
      <c r="K802" s="1" t="s">
        <v>15</v>
      </c>
      <c r="L802" s="1">
        <v>8</v>
      </c>
      <c r="M802" s="1" t="s">
        <v>20</v>
      </c>
      <c r="N802" s="5">
        <f>IF(Tabulka1[[#This Row],[E-shop]]="ano",1,0)</f>
        <v>1</v>
      </c>
      <c r="O802" s="5">
        <f>IF(Tabulka1[[#This Row],[Reklamace]]="ano",1,0)</f>
        <v>0</v>
      </c>
    </row>
    <row r="803" spans="1:15" ht="15.75" customHeight="1" x14ac:dyDescent="0.3">
      <c r="A803" s="1">
        <v>348</v>
      </c>
      <c r="B803" s="2">
        <v>45943</v>
      </c>
      <c r="C803" s="1" t="s">
        <v>31</v>
      </c>
      <c r="D803" s="1" t="s">
        <v>35</v>
      </c>
      <c r="E803" s="1">
        <v>2</v>
      </c>
      <c r="F803" s="1">
        <v>12000</v>
      </c>
      <c r="G803" s="1">
        <v>24000</v>
      </c>
      <c r="H803" s="1">
        <v>6200</v>
      </c>
      <c r="I803" s="1" t="s">
        <v>16</v>
      </c>
      <c r="J803" s="1">
        <v>7</v>
      </c>
      <c r="K803" s="1" t="s">
        <v>16</v>
      </c>
      <c r="L803" s="1">
        <v>3</v>
      </c>
      <c r="M803" s="1" t="s">
        <v>20</v>
      </c>
      <c r="N803" s="5">
        <f>IF(Tabulka1[[#This Row],[E-shop]]="ano",1,0)</f>
        <v>1</v>
      </c>
      <c r="O803" s="5">
        <f>IF(Tabulka1[[#This Row],[Reklamace]]="ano",1,0)</f>
        <v>1</v>
      </c>
    </row>
    <row r="804" spans="1:15" ht="15.75" customHeight="1" x14ac:dyDescent="0.3">
      <c r="A804" s="1">
        <v>386</v>
      </c>
      <c r="B804" s="2">
        <v>45836</v>
      </c>
      <c r="C804" s="1" t="s">
        <v>13</v>
      </c>
      <c r="D804" s="1" t="s">
        <v>30</v>
      </c>
      <c r="E804" s="1">
        <v>3</v>
      </c>
      <c r="F804" s="1">
        <v>8000</v>
      </c>
      <c r="G804" s="1">
        <v>24000</v>
      </c>
      <c r="H804" s="1">
        <v>5822</v>
      </c>
      <c r="I804" s="1" t="s">
        <v>15</v>
      </c>
      <c r="J804" s="1">
        <v>4</v>
      </c>
      <c r="K804" s="1" t="s">
        <v>15</v>
      </c>
      <c r="L804" s="1">
        <v>7</v>
      </c>
      <c r="M804" s="1" t="s">
        <v>20</v>
      </c>
      <c r="N804" s="5">
        <f>IF(Tabulka1[[#This Row],[E-shop]]="ano",1,0)</f>
        <v>0</v>
      </c>
      <c r="O804" s="5">
        <f>IF(Tabulka1[[#This Row],[Reklamace]]="ano",1,0)</f>
        <v>0</v>
      </c>
    </row>
    <row r="805" spans="1:15" ht="15.75" customHeight="1" x14ac:dyDescent="0.3">
      <c r="A805" s="1">
        <v>496</v>
      </c>
      <c r="B805" s="2">
        <v>45865</v>
      </c>
      <c r="C805" s="1" t="s">
        <v>36</v>
      </c>
      <c r="D805" s="1" t="s">
        <v>30</v>
      </c>
      <c r="E805" s="1">
        <v>3</v>
      </c>
      <c r="F805" s="1">
        <v>8000</v>
      </c>
      <c r="G805" s="1">
        <v>24000</v>
      </c>
      <c r="H805" s="1">
        <v>4725</v>
      </c>
      <c r="I805" s="1" t="s">
        <v>16</v>
      </c>
      <c r="J805" s="1">
        <v>2</v>
      </c>
      <c r="K805" s="1" t="s">
        <v>15</v>
      </c>
      <c r="L805" s="1">
        <v>6</v>
      </c>
      <c r="M805" s="1" t="s">
        <v>20</v>
      </c>
      <c r="N805" s="5">
        <f>IF(Tabulka1[[#This Row],[E-shop]]="ano",1,0)</f>
        <v>1</v>
      </c>
      <c r="O805" s="5">
        <f>IF(Tabulka1[[#This Row],[Reklamace]]="ano",1,0)</f>
        <v>0</v>
      </c>
    </row>
    <row r="806" spans="1:15" ht="15.75" customHeight="1" x14ac:dyDescent="0.3">
      <c r="A806" s="1">
        <v>561</v>
      </c>
      <c r="B806" s="2">
        <v>45351</v>
      </c>
      <c r="C806" s="1" t="s">
        <v>21</v>
      </c>
      <c r="D806" s="1" t="s">
        <v>14</v>
      </c>
      <c r="E806" s="1">
        <v>2</v>
      </c>
      <c r="F806" s="1">
        <v>12000</v>
      </c>
      <c r="G806" s="1">
        <v>24000</v>
      </c>
      <c r="H806" s="1">
        <v>4202</v>
      </c>
      <c r="I806" s="1" t="s">
        <v>16</v>
      </c>
      <c r="J806" s="1">
        <v>1</v>
      </c>
      <c r="K806" s="1" t="s">
        <v>16</v>
      </c>
      <c r="L806" s="1">
        <v>9</v>
      </c>
      <c r="M806" s="1" t="s">
        <v>17</v>
      </c>
      <c r="N806" s="5">
        <f>IF(Tabulka1[[#This Row],[E-shop]]="ano",1,0)</f>
        <v>1</v>
      </c>
      <c r="O806" s="5">
        <f>IF(Tabulka1[[#This Row],[Reklamace]]="ano",1,0)</f>
        <v>1</v>
      </c>
    </row>
    <row r="807" spans="1:15" ht="15.75" customHeight="1" x14ac:dyDescent="0.3">
      <c r="A807" s="1">
        <v>641</v>
      </c>
      <c r="B807" s="2">
        <v>45690</v>
      </c>
      <c r="C807" s="1" t="s">
        <v>13</v>
      </c>
      <c r="D807" s="1" t="s">
        <v>27</v>
      </c>
      <c r="E807" s="1">
        <v>6</v>
      </c>
      <c r="F807" s="1">
        <v>4000</v>
      </c>
      <c r="G807" s="1">
        <v>24000</v>
      </c>
      <c r="H807" s="1">
        <v>5438</v>
      </c>
      <c r="I807" s="1" t="s">
        <v>15</v>
      </c>
      <c r="J807" s="1">
        <v>5</v>
      </c>
      <c r="K807" s="1" t="s">
        <v>16</v>
      </c>
      <c r="L807" s="1">
        <v>3</v>
      </c>
      <c r="M807" s="1" t="s">
        <v>20</v>
      </c>
      <c r="N807" s="5">
        <f>IF(Tabulka1[[#This Row],[E-shop]]="ano",1,0)</f>
        <v>0</v>
      </c>
      <c r="O807" s="5">
        <f>IF(Tabulka1[[#This Row],[Reklamace]]="ano",1,0)</f>
        <v>1</v>
      </c>
    </row>
    <row r="808" spans="1:15" ht="15.75" customHeight="1" x14ac:dyDescent="0.3">
      <c r="A808" s="1">
        <v>648</v>
      </c>
      <c r="B808" s="2">
        <v>45736</v>
      </c>
      <c r="C808" s="1" t="s">
        <v>13</v>
      </c>
      <c r="D808" s="1" t="s">
        <v>14</v>
      </c>
      <c r="E808" s="1">
        <v>2</v>
      </c>
      <c r="F808" s="1">
        <v>12000</v>
      </c>
      <c r="G808" s="1">
        <v>24000</v>
      </c>
      <c r="H808" s="1">
        <v>5384</v>
      </c>
      <c r="I808" s="1" t="s">
        <v>15</v>
      </c>
      <c r="J808" s="1">
        <v>5</v>
      </c>
      <c r="K808" s="1" t="s">
        <v>15</v>
      </c>
      <c r="L808" s="1">
        <v>6</v>
      </c>
      <c r="M808" s="1" t="s">
        <v>20</v>
      </c>
      <c r="N808" s="5">
        <f>IF(Tabulka1[[#This Row],[E-shop]]="ano",1,0)</f>
        <v>0</v>
      </c>
      <c r="O808" s="5">
        <f>IF(Tabulka1[[#This Row],[Reklamace]]="ano",1,0)</f>
        <v>0</v>
      </c>
    </row>
    <row r="809" spans="1:15" ht="15.75" customHeight="1" x14ac:dyDescent="0.3">
      <c r="A809" s="1">
        <v>680</v>
      </c>
      <c r="B809" s="2">
        <v>45582</v>
      </c>
      <c r="C809" s="1" t="s">
        <v>18</v>
      </c>
      <c r="D809" s="1" t="s">
        <v>30</v>
      </c>
      <c r="E809" s="1">
        <v>3</v>
      </c>
      <c r="F809" s="1">
        <v>8000</v>
      </c>
      <c r="G809" s="1">
        <v>24000</v>
      </c>
      <c r="H809" s="1">
        <v>4807</v>
      </c>
      <c r="I809" s="1" t="s">
        <v>15</v>
      </c>
      <c r="J809" s="1">
        <v>6</v>
      </c>
      <c r="K809" s="1" t="s">
        <v>16</v>
      </c>
      <c r="L809" s="1">
        <v>4</v>
      </c>
      <c r="M809" s="1" t="s">
        <v>17</v>
      </c>
      <c r="N809" s="5">
        <f>IF(Tabulka1[[#This Row],[E-shop]]="ano",1,0)</f>
        <v>0</v>
      </c>
      <c r="O809" s="5">
        <f>IF(Tabulka1[[#This Row],[Reklamace]]="ano",1,0)</f>
        <v>1</v>
      </c>
    </row>
    <row r="810" spans="1:15" ht="15.75" customHeight="1" x14ac:dyDescent="0.3">
      <c r="A810" s="1">
        <v>777</v>
      </c>
      <c r="B810" s="2">
        <v>45958</v>
      </c>
      <c r="C810" s="1" t="s">
        <v>25</v>
      </c>
      <c r="D810" s="1" t="s">
        <v>33</v>
      </c>
      <c r="E810" s="1">
        <v>4</v>
      </c>
      <c r="F810" s="1">
        <v>6000</v>
      </c>
      <c r="G810" s="1">
        <v>24000</v>
      </c>
      <c r="H810" s="1">
        <v>3759</v>
      </c>
      <c r="I810" s="1" t="s">
        <v>15</v>
      </c>
      <c r="J810" s="1">
        <v>7</v>
      </c>
      <c r="K810" s="1" t="s">
        <v>15</v>
      </c>
      <c r="L810" s="1">
        <v>2</v>
      </c>
      <c r="M810" s="1" t="s">
        <v>20</v>
      </c>
      <c r="N810" s="5">
        <f>IF(Tabulka1[[#This Row],[E-shop]]="ano",1,0)</f>
        <v>0</v>
      </c>
      <c r="O810" s="5">
        <f>IF(Tabulka1[[#This Row],[Reklamace]]="ano",1,0)</f>
        <v>0</v>
      </c>
    </row>
    <row r="811" spans="1:15" ht="15.75" customHeight="1" x14ac:dyDescent="0.3">
      <c r="A811" s="1">
        <v>778</v>
      </c>
      <c r="B811" s="2">
        <v>45558</v>
      </c>
      <c r="C811" s="1" t="s">
        <v>18</v>
      </c>
      <c r="D811" s="1" t="s">
        <v>26</v>
      </c>
      <c r="E811" s="1">
        <v>2</v>
      </c>
      <c r="F811" s="1">
        <v>12000</v>
      </c>
      <c r="G811" s="1">
        <v>24000</v>
      </c>
      <c r="H811" s="1">
        <v>3988</v>
      </c>
      <c r="I811" s="1" t="s">
        <v>15</v>
      </c>
      <c r="J811" s="1">
        <v>3</v>
      </c>
      <c r="K811" s="1" t="s">
        <v>15</v>
      </c>
      <c r="L811" s="1">
        <v>5</v>
      </c>
      <c r="M811" s="1" t="s">
        <v>20</v>
      </c>
      <c r="N811" s="5">
        <f>IF(Tabulka1[[#This Row],[E-shop]]="ano",1,0)</f>
        <v>0</v>
      </c>
      <c r="O811" s="5">
        <f>IF(Tabulka1[[#This Row],[Reklamace]]="ano",1,0)</f>
        <v>0</v>
      </c>
    </row>
    <row r="812" spans="1:15" ht="15.75" customHeight="1" x14ac:dyDescent="0.3">
      <c r="A812" s="1">
        <v>867</v>
      </c>
      <c r="B812" s="2">
        <v>45449</v>
      </c>
      <c r="C812" s="1" t="s">
        <v>25</v>
      </c>
      <c r="D812" s="1" t="s">
        <v>33</v>
      </c>
      <c r="E812" s="1">
        <v>4</v>
      </c>
      <c r="F812" s="1">
        <v>6000</v>
      </c>
      <c r="G812" s="1">
        <v>24000</v>
      </c>
      <c r="H812" s="1">
        <v>3807</v>
      </c>
      <c r="I812" s="1" t="s">
        <v>15</v>
      </c>
      <c r="J812" s="1">
        <v>3</v>
      </c>
      <c r="K812" s="1" t="s">
        <v>15</v>
      </c>
      <c r="L812" s="1">
        <v>6</v>
      </c>
      <c r="M812" s="1" t="s">
        <v>20</v>
      </c>
      <c r="N812" s="5">
        <f>IF(Tabulka1[[#This Row],[E-shop]]="ano",1,0)</f>
        <v>0</v>
      </c>
      <c r="O812" s="5">
        <f>IF(Tabulka1[[#This Row],[Reklamace]]="ano",1,0)</f>
        <v>0</v>
      </c>
    </row>
    <row r="813" spans="1:15" ht="15.75" customHeight="1" x14ac:dyDescent="0.3">
      <c r="A813" s="1">
        <v>926</v>
      </c>
      <c r="B813" s="2">
        <v>45501</v>
      </c>
      <c r="C813" s="1" t="s">
        <v>23</v>
      </c>
      <c r="D813" s="1" t="s">
        <v>14</v>
      </c>
      <c r="E813" s="1">
        <v>2</v>
      </c>
      <c r="F813" s="1">
        <v>12000</v>
      </c>
      <c r="G813" s="1">
        <v>24000</v>
      </c>
      <c r="H813" s="1">
        <v>6150</v>
      </c>
      <c r="I813" s="1" t="s">
        <v>15</v>
      </c>
      <c r="J813" s="1">
        <v>3</v>
      </c>
      <c r="K813" s="1" t="s">
        <v>15</v>
      </c>
      <c r="L813" s="1">
        <v>7</v>
      </c>
      <c r="M813" s="1" t="s">
        <v>20</v>
      </c>
      <c r="N813" s="5">
        <f>IF(Tabulka1[[#This Row],[E-shop]]="ano",1,0)</f>
        <v>0</v>
      </c>
      <c r="O813" s="5">
        <f>IF(Tabulka1[[#This Row],[Reklamace]]="ano",1,0)</f>
        <v>0</v>
      </c>
    </row>
    <row r="814" spans="1:15" ht="15.75" customHeight="1" x14ac:dyDescent="0.3">
      <c r="A814" s="1">
        <v>258</v>
      </c>
      <c r="B814" s="2">
        <v>45917</v>
      </c>
      <c r="C814" s="1" t="s">
        <v>23</v>
      </c>
      <c r="D814" s="1" t="s">
        <v>39</v>
      </c>
      <c r="E814" s="1">
        <v>9</v>
      </c>
      <c r="F814" s="1">
        <v>2500</v>
      </c>
      <c r="G814" s="1">
        <v>22500</v>
      </c>
      <c r="H814" s="1">
        <v>5342</v>
      </c>
      <c r="I814" s="1" t="s">
        <v>15</v>
      </c>
      <c r="J814" s="1">
        <v>8</v>
      </c>
      <c r="K814" s="1" t="s">
        <v>15</v>
      </c>
      <c r="L814" s="1">
        <v>1</v>
      </c>
      <c r="M814" s="1" t="s">
        <v>20</v>
      </c>
      <c r="N814" s="5">
        <f>IF(Tabulka1[[#This Row],[E-shop]]="ano",1,0)</f>
        <v>0</v>
      </c>
      <c r="O814" s="5">
        <f>IF(Tabulka1[[#This Row],[Reklamace]]="ano",1,0)</f>
        <v>0</v>
      </c>
    </row>
    <row r="815" spans="1:15" ht="15.75" customHeight="1" x14ac:dyDescent="0.3">
      <c r="A815" s="1">
        <v>357</v>
      </c>
      <c r="B815" s="2">
        <v>45941</v>
      </c>
      <c r="C815" s="1" t="s">
        <v>23</v>
      </c>
      <c r="D815" s="1" t="s">
        <v>39</v>
      </c>
      <c r="E815" s="1">
        <v>9</v>
      </c>
      <c r="F815" s="1">
        <v>2500</v>
      </c>
      <c r="G815" s="1">
        <v>22500</v>
      </c>
      <c r="H815" s="1">
        <v>5570</v>
      </c>
      <c r="I815" s="1" t="s">
        <v>16</v>
      </c>
      <c r="J815" s="1">
        <v>3</v>
      </c>
      <c r="K815" s="1" t="s">
        <v>15</v>
      </c>
      <c r="L815" s="1">
        <v>8</v>
      </c>
      <c r="M815" s="1" t="s">
        <v>20</v>
      </c>
      <c r="N815" s="5">
        <f>IF(Tabulka1[[#This Row],[E-shop]]="ano",1,0)</f>
        <v>1</v>
      </c>
      <c r="O815" s="5">
        <f>IF(Tabulka1[[#This Row],[Reklamace]]="ano",1,0)</f>
        <v>0</v>
      </c>
    </row>
    <row r="816" spans="1:15" ht="15.75" customHeight="1" x14ac:dyDescent="0.3">
      <c r="A816" s="1">
        <v>631</v>
      </c>
      <c r="B816" s="2">
        <v>45350</v>
      </c>
      <c r="C816" s="1" t="s">
        <v>31</v>
      </c>
      <c r="D816" s="1" t="s">
        <v>39</v>
      </c>
      <c r="E816" s="1">
        <v>9</v>
      </c>
      <c r="F816" s="1">
        <v>2500</v>
      </c>
      <c r="G816" s="1">
        <v>22500</v>
      </c>
      <c r="H816" s="1">
        <v>5584</v>
      </c>
      <c r="I816" s="1" t="s">
        <v>15</v>
      </c>
      <c r="J816" s="1">
        <v>8</v>
      </c>
      <c r="K816" s="1" t="s">
        <v>16</v>
      </c>
      <c r="L816" s="1">
        <v>3</v>
      </c>
      <c r="M816" s="1" t="s">
        <v>20</v>
      </c>
      <c r="N816" s="5">
        <f>IF(Tabulka1[[#This Row],[E-shop]]="ano",1,0)</f>
        <v>0</v>
      </c>
      <c r="O816" s="5">
        <f>IF(Tabulka1[[#This Row],[Reklamace]]="ano",1,0)</f>
        <v>1</v>
      </c>
    </row>
    <row r="817" spans="1:15" ht="15.75" customHeight="1" x14ac:dyDescent="0.3">
      <c r="A817" s="1">
        <v>882</v>
      </c>
      <c r="B817" s="2">
        <v>46002</v>
      </c>
      <c r="C817" s="1" t="s">
        <v>23</v>
      </c>
      <c r="D817" s="1" t="s">
        <v>39</v>
      </c>
      <c r="E817" s="1">
        <v>9</v>
      </c>
      <c r="F817" s="1">
        <v>2500</v>
      </c>
      <c r="G817" s="1">
        <v>22500</v>
      </c>
      <c r="H817" s="1">
        <v>4600</v>
      </c>
      <c r="I817" s="1" t="s">
        <v>15</v>
      </c>
      <c r="J817" s="1">
        <v>5</v>
      </c>
      <c r="K817" s="1" t="s">
        <v>16</v>
      </c>
      <c r="L817" s="1">
        <v>3</v>
      </c>
      <c r="M817" s="1" t="s">
        <v>20</v>
      </c>
      <c r="N817" s="5">
        <f>IF(Tabulka1[[#This Row],[E-shop]]="ano",1,0)</f>
        <v>0</v>
      </c>
      <c r="O817" s="5">
        <f>IF(Tabulka1[[#This Row],[Reklamace]]="ano",1,0)</f>
        <v>1</v>
      </c>
    </row>
    <row r="818" spans="1:15" ht="15.75" customHeight="1" x14ac:dyDescent="0.3">
      <c r="A818" s="1">
        <v>832</v>
      </c>
      <c r="B818" s="2">
        <v>45872</v>
      </c>
      <c r="C818" s="1" t="s">
        <v>21</v>
      </c>
      <c r="D818" s="1" t="s">
        <v>48</v>
      </c>
      <c r="E818" s="1">
        <v>1</v>
      </c>
      <c r="F818" s="1">
        <v>22000</v>
      </c>
      <c r="G818" s="1">
        <v>22000</v>
      </c>
      <c r="H818" s="1">
        <v>3854</v>
      </c>
      <c r="I818" s="1" t="s">
        <v>16</v>
      </c>
      <c r="J818" s="1">
        <v>6</v>
      </c>
      <c r="K818" s="1" t="s">
        <v>16</v>
      </c>
      <c r="L818" s="1">
        <v>2</v>
      </c>
      <c r="M818" s="1" t="s">
        <v>20</v>
      </c>
      <c r="N818" s="5">
        <f>IF(Tabulka1[[#This Row],[E-shop]]="ano",1,0)</f>
        <v>1</v>
      </c>
      <c r="O818" s="5">
        <f>IF(Tabulka1[[#This Row],[Reklamace]]="ano",1,0)</f>
        <v>1</v>
      </c>
    </row>
    <row r="819" spans="1:15" ht="15.75" customHeight="1" x14ac:dyDescent="0.3">
      <c r="A819" s="1">
        <v>862</v>
      </c>
      <c r="B819" s="2">
        <v>45567</v>
      </c>
      <c r="C819" s="1" t="s">
        <v>21</v>
      </c>
      <c r="D819" s="1" t="s">
        <v>48</v>
      </c>
      <c r="E819" s="1">
        <v>1</v>
      </c>
      <c r="F819" s="1">
        <v>22000</v>
      </c>
      <c r="G819" s="1">
        <v>22000</v>
      </c>
      <c r="H819" s="1">
        <v>3580</v>
      </c>
      <c r="I819" s="1" t="s">
        <v>15</v>
      </c>
      <c r="J819" s="1">
        <v>3</v>
      </c>
      <c r="K819" s="1" t="s">
        <v>16</v>
      </c>
      <c r="L819" s="1">
        <v>6</v>
      </c>
      <c r="M819" s="1" t="s">
        <v>17</v>
      </c>
      <c r="N819" s="5">
        <f>IF(Tabulka1[[#This Row],[E-shop]]="ano",1,0)</f>
        <v>0</v>
      </c>
      <c r="O819" s="5">
        <f>IF(Tabulka1[[#This Row],[Reklamace]]="ano",1,0)</f>
        <v>1</v>
      </c>
    </row>
    <row r="820" spans="1:15" ht="15.75" customHeight="1" x14ac:dyDescent="0.3">
      <c r="A820" s="1">
        <v>976</v>
      </c>
      <c r="B820" s="2">
        <v>45370</v>
      </c>
      <c r="C820" s="1" t="s">
        <v>13</v>
      </c>
      <c r="D820" s="1" t="s">
        <v>48</v>
      </c>
      <c r="E820" s="1">
        <v>1</v>
      </c>
      <c r="F820" s="1">
        <v>22000</v>
      </c>
      <c r="G820" s="1">
        <v>22000</v>
      </c>
      <c r="H820" s="1">
        <v>5341</v>
      </c>
      <c r="I820" s="1" t="s">
        <v>15</v>
      </c>
      <c r="J820" s="1">
        <v>6</v>
      </c>
      <c r="K820" s="1" t="s">
        <v>15</v>
      </c>
      <c r="L820" s="1">
        <v>5</v>
      </c>
      <c r="M820" s="1" t="s">
        <v>20</v>
      </c>
      <c r="N820" s="5">
        <f>IF(Tabulka1[[#This Row],[E-shop]]="ano",1,0)</f>
        <v>0</v>
      </c>
      <c r="O820" s="5">
        <f>IF(Tabulka1[[#This Row],[Reklamace]]="ano",1,0)</f>
        <v>0</v>
      </c>
    </row>
    <row r="821" spans="1:15" ht="15.75" customHeight="1" x14ac:dyDescent="0.3">
      <c r="A821" s="1">
        <v>4</v>
      </c>
      <c r="B821" s="2">
        <v>45391</v>
      </c>
      <c r="C821" s="1" t="s">
        <v>23</v>
      </c>
      <c r="D821" s="1" t="s">
        <v>24</v>
      </c>
      <c r="E821" s="1">
        <v>3</v>
      </c>
      <c r="F821" s="1">
        <v>7000</v>
      </c>
      <c r="G821" s="1">
        <v>21000</v>
      </c>
      <c r="H821" s="1">
        <v>4334</v>
      </c>
      <c r="I821" s="1" t="s">
        <v>16</v>
      </c>
      <c r="J821" s="1">
        <v>6</v>
      </c>
      <c r="K821" s="1" t="s">
        <v>15</v>
      </c>
      <c r="L821" s="1">
        <v>4</v>
      </c>
      <c r="M821" s="1" t="s">
        <v>20</v>
      </c>
      <c r="N821" s="5">
        <f>IF(Tabulka1[[#This Row],[E-shop]]="ano",1,0)</f>
        <v>1</v>
      </c>
      <c r="O821" s="5">
        <f>IF(Tabulka1[[#This Row],[Reklamace]]="ano",1,0)</f>
        <v>0</v>
      </c>
    </row>
    <row r="822" spans="1:15" ht="15.75" customHeight="1" x14ac:dyDescent="0.3">
      <c r="A822" s="1">
        <v>77</v>
      </c>
      <c r="B822" s="2">
        <v>45301</v>
      </c>
      <c r="C822" s="1" t="s">
        <v>31</v>
      </c>
      <c r="D822" s="1" t="s">
        <v>24</v>
      </c>
      <c r="E822" s="1">
        <v>3</v>
      </c>
      <c r="F822" s="1">
        <v>7000</v>
      </c>
      <c r="G822" s="1">
        <v>21000</v>
      </c>
      <c r="H822" s="1">
        <v>3461</v>
      </c>
      <c r="I822" s="1" t="s">
        <v>15</v>
      </c>
      <c r="J822" s="1">
        <v>5</v>
      </c>
      <c r="K822" s="1" t="s">
        <v>16</v>
      </c>
      <c r="L822" s="1">
        <v>4</v>
      </c>
      <c r="M822" s="1" t="s">
        <v>20</v>
      </c>
      <c r="N822" s="5">
        <f>IF(Tabulka1[[#This Row],[E-shop]]="ano",1,0)</f>
        <v>0</v>
      </c>
      <c r="O822" s="5">
        <f>IF(Tabulka1[[#This Row],[Reklamace]]="ano",1,0)</f>
        <v>1</v>
      </c>
    </row>
    <row r="823" spans="1:15" ht="15.75" customHeight="1" x14ac:dyDescent="0.3">
      <c r="A823" s="1">
        <v>132</v>
      </c>
      <c r="B823" s="2">
        <v>45966</v>
      </c>
      <c r="C823" s="1" t="s">
        <v>25</v>
      </c>
      <c r="D823" s="1" t="s">
        <v>45</v>
      </c>
      <c r="E823" s="1">
        <v>6</v>
      </c>
      <c r="F823" s="1">
        <v>3500</v>
      </c>
      <c r="G823" s="1">
        <v>21000</v>
      </c>
      <c r="H823" s="1">
        <v>4168</v>
      </c>
      <c r="I823" s="1" t="s">
        <v>15</v>
      </c>
      <c r="J823" s="1">
        <v>8</v>
      </c>
      <c r="K823" s="1" t="s">
        <v>15</v>
      </c>
      <c r="L823" s="1">
        <v>1</v>
      </c>
      <c r="M823" s="1" t="s">
        <v>20</v>
      </c>
      <c r="N823" s="5">
        <f>IF(Tabulka1[[#This Row],[E-shop]]="ano",1,0)</f>
        <v>0</v>
      </c>
      <c r="O823" s="5">
        <f>IF(Tabulka1[[#This Row],[Reklamace]]="ano",1,0)</f>
        <v>0</v>
      </c>
    </row>
    <row r="824" spans="1:15" ht="15.75" customHeight="1" x14ac:dyDescent="0.3">
      <c r="A824" s="1">
        <v>288</v>
      </c>
      <c r="B824" s="2">
        <v>45486</v>
      </c>
      <c r="C824" s="1" t="s">
        <v>23</v>
      </c>
      <c r="D824" s="1" t="s">
        <v>34</v>
      </c>
      <c r="E824" s="1">
        <v>6</v>
      </c>
      <c r="F824" s="1">
        <v>3500</v>
      </c>
      <c r="G824" s="1">
        <v>21000</v>
      </c>
      <c r="H824" s="1">
        <v>3677</v>
      </c>
      <c r="I824" s="1" t="s">
        <v>16</v>
      </c>
      <c r="J824" s="1">
        <v>4</v>
      </c>
      <c r="K824" s="1" t="s">
        <v>15</v>
      </c>
      <c r="L824" s="1">
        <v>5</v>
      </c>
      <c r="M824" s="1" t="s">
        <v>20</v>
      </c>
      <c r="N824" s="5">
        <f>IF(Tabulka1[[#This Row],[E-shop]]="ano",1,0)</f>
        <v>1</v>
      </c>
      <c r="O824" s="5">
        <f>IF(Tabulka1[[#This Row],[Reklamace]]="ano",1,0)</f>
        <v>0</v>
      </c>
    </row>
    <row r="825" spans="1:15" ht="15.75" customHeight="1" x14ac:dyDescent="0.3">
      <c r="A825" s="1">
        <v>333</v>
      </c>
      <c r="B825" s="2">
        <v>45665</v>
      </c>
      <c r="C825" s="1" t="s">
        <v>13</v>
      </c>
      <c r="D825" s="1" t="s">
        <v>24</v>
      </c>
      <c r="E825" s="1">
        <v>3</v>
      </c>
      <c r="F825" s="1">
        <v>7000</v>
      </c>
      <c r="G825" s="1">
        <v>21000</v>
      </c>
      <c r="H825" s="1">
        <v>3599</v>
      </c>
      <c r="I825" s="1" t="s">
        <v>16</v>
      </c>
      <c r="J825" s="1">
        <v>6</v>
      </c>
      <c r="K825" s="1" t="s">
        <v>15</v>
      </c>
      <c r="L825" s="1">
        <v>5</v>
      </c>
      <c r="M825" s="1" t="s">
        <v>20</v>
      </c>
      <c r="N825" s="5">
        <f>IF(Tabulka1[[#This Row],[E-shop]]="ano",1,0)</f>
        <v>1</v>
      </c>
      <c r="O825" s="5">
        <f>IF(Tabulka1[[#This Row],[Reklamace]]="ano",1,0)</f>
        <v>0</v>
      </c>
    </row>
    <row r="826" spans="1:15" ht="15.75" customHeight="1" x14ac:dyDescent="0.3">
      <c r="A826" s="1">
        <v>365</v>
      </c>
      <c r="B826" s="2">
        <v>45798</v>
      </c>
      <c r="C826" s="1" t="s">
        <v>23</v>
      </c>
      <c r="D826" s="1" t="s">
        <v>45</v>
      </c>
      <c r="E826" s="1">
        <v>6</v>
      </c>
      <c r="F826" s="1">
        <v>3500</v>
      </c>
      <c r="G826" s="1">
        <v>21000</v>
      </c>
      <c r="H826" s="1">
        <v>6286</v>
      </c>
      <c r="I826" s="1" t="s">
        <v>15</v>
      </c>
      <c r="J826" s="1">
        <v>5</v>
      </c>
      <c r="K826" s="1" t="s">
        <v>16</v>
      </c>
      <c r="L826" s="1">
        <v>5</v>
      </c>
      <c r="M826" s="1" t="s">
        <v>20</v>
      </c>
      <c r="N826" s="5">
        <f>IF(Tabulka1[[#This Row],[E-shop]]="ano",1,0)</f>
        <v>0</v>
      </c>
      <c r="O826" s="5">
        <f>IF(Tabulka1[[#This Row],[Reklamace]]="ano",1,0)</f>
        <v>1</v>
      </c>
    </row>
    <row r="827" spans="1:15" ht="15.75" customHeight="1" x14ac:dyDescent="0.3">
      <c r="A827" s="1">
        <v>374</v>
      </c>
      <c r="B827" s="2">
        <v>45470</v>
      </c>
      <c r="C827" s="1" t="s">
        <v>25</v>
      </c>
      <c r="D827" s="1" t="s">
        <v>45</v>
      </c>
      <c r="E827" s="1">
        <v>6</v>
      </c>
      <c r="F827" s="1">
        <v>3500</v>
      </c>
      <c r="G827" s="1">
        <v>21000</v>
      </c>
      <c r="H827" s="1">
        <v>3927</v>
      </c>
      <c r="I827" s="1" t="s">
        <v>16</v>
      </c>
      <c r="J827" s="1">
        <v>3</v>
      </c>
      <c r="K827" s="1" t="s">
        <v>15</v>
      </c>
      <c r="L827" s="1">
        <v>6</v>
      </c>
      <c r="M827" s="1" t="s">
        <v>17</v>
      </c>
      <c r="N827" s="5">
        <f>IF(Tabulka1[[#This Row],[E-shop]]="ano",1,0)</f>
        <v>1</v>
      </c>
      <c r="O827" s="5">
        <f>IF(Tabulka1[[#This Row],[Reklamace]]="ano",1,0)</f>
        <v>0</v>
      </c>
    </row>
    <row r="828" spans="1:15" ht="15.75" customHeight="1" x14ac:dyDescent="0.3">
      <c r="A828" s="1">
        <v>443</v>
      </c>
      <c r="B828" s="2">
        <v>45691</v>
      </c>
      <c r="C828" s="1" t="s">
        <v>21</v>
      </c>
      <c r="D828" s="1" t="s">
        <v>46</v>
      </c>
      <c r="E828" s="1">
        <v>7</v>
      </c>
      <c r="F828" s="1">
        <v>3000</v>
      </c>
      <c r="G828" s="1">
        <v>21000</v>
      </c>
      <c r="H828" s="1">
        <v>3861</v>
      </c>
      <c r="I828" s="1" t="s">
        <v>15</v>
      </c>
      <c r="J828" s="1">
        <v>3</v>
      </c>
      <c r="K828" s="1" t="s">
        <v>15</v>
      </c>
      <c r="L828" s="1">
        <v>7</v>
      </c>
      <c r="M828" s="1" t="s">
        <v>20</v>
      </c>
      <c r="N828" s="5">
        <f>IF(Tabulka1[[#This Row],[E-shop]]="ano",1,0)</f>
        <v>0</v>
      </c>
      <c r="O828" s="5">
        <f>IF(Tabulka1[[#This Row],[Reklamace]]="ano",1,0)</f>
        <v>0</v>
      </c>
    </row>
    <row r="829" spans="1:15" ht="15.75" customHeight="1" x14ac:dyDescent="0.3">
      <c r="A829" s="1">
        <v>512</v>
      </c>
      <c r="B829" s="2">
        <v>45985</v>
      </c>
      <c r="C829" s="1" t="s">
        <v>36</v>
      </c>
      <c r="D829" s="1" t="s">
        <v>37</v>
      </c>
      <c r="E829" s="1">
        <v>3</v>
      </c>
      <c r="F829" s="1">
        <v>7000</v>
      </c>
      <c r="G829" s="1">
        <v>21000</v>
      </c>
      <c r="H829" s="1">
        <v>4581</v>
      </c>
      <c r="I829" s="1" t="s">
        <v>16</v>
      </c>
      <c r="J829" s="1">
        <v>4</v>
      </c>
      <c r="K829" s="1" t="s">
        <v>15</v>
      </c>
      <c r="L829" s="1">
        <v>5</v>
      </c>
      <c r="M829" s="1" t="s">
        <v>20</v>
      </c>
      <c r="N829" s="5">
        <f>IF(Tabulka1[[#This Row],[E-shop]]="ano",1,0)</f>
        <v>1</v>
      </c>
      <c r="O829" s="5">
        <f>IF(Tabulka1[[#This Row],[Reklamace]]="ano",1,0)</f>
        <v>0</v>
      </c>
    </row>
    <row r="830" spans="1:15" ht="15.75" customHeight="1" x14ac:dyDescent="0.3">
      <c r="A830" s="1">
        <v>517</v>
      </c>
      <c r="B830" s="2">
        <v>45406</v>
      </c>
      <c r="C830" s="1" t="s">
        <v>23</v>
      </c>
      <c r="D830" s="1" t="s">
        <v>34</v>
      </c>
      <c r="E830" s="1">
        <v>6</v>
      </c>
      <c r="F830" s="1">
        <v>3500</v>
      </c>
      <c r="G830" s="1">
        <v>21000</v>
      </c>
      <c r="H830" s="1">
        <v>3625</v>
      </c>
      <c r="I830" s="1" t="s">
        <v>15</v>
      </c>
      <c r="J830" s="1">
        <v>8</v>
      </c>
      <c r="K830" s="1" t="s">
        <v>16</v>
      </c>
      <c r="L830" s="1">
        <v>1</v>
      </c>
      <c r="M830" s="1" t="s">
        <v>20</v>
      </c>
      <c r="N830" s="5">
        <f>IF(Tabulka1[[#This Row],[E-shop]]="ano",1,0)</f>
        <v>0</v>
      </c>
      <c r="O830" s="5">
        <f>IF(Tabulka1[[#This Row],[Reklamace]]="ano",1,0)</f>
        <v>1</v>
      </c>
    </row>
    <row r="831" spans="1:15" ht="15.75" customHeight="1" x14ac:dyDescent="0.3">
      <c r="A831" s="1">
        <v>542</v>
      </c>
      <c r="B831" s="2">
        <v>45753</v>
      </c>
      <c r="C831" s="1" t="s">
        <v>13</v>
      </c>
      <c r="D831" s="1" t="s">
        <v>24</v>
      </c>
      <c r="E831" s="1">
        <v>3</v>
      </c>
      <c r="F831" s="1">
        <v>7000</v>
      </c>
      <c r="G831" s="1">
        <v>21000</v>
      </c>
      <c r="H831" s="1">
        <v>4706</v>
      </c>
      <c r="I831" s="1" t="s">
        <v>16</v>
      </c>
      <c r="J831" s="1">
        <v>5</v>
      </c>
      <c r="K831" s="1" t="s">
        <v>15</v>
      </c>
      <c r="L831" s="1">
        <v>5</v>
      </c>
      <c r="M831" s="1" t="s">
        <v>20</v>
      </c>
      <c r="N831" s="5">
        <f>IF(Tabulka1[[#This Row],[E-shop]]="ano",1,0)</f>
        <v>1</v>
      </c>
      <c r="O831" s="5">
        <f>IF(Tabulka1[[#This Row],[Reklamace]]="ano",1,0)</f>
        <v>0</v>
      </c>
    </row>
    <row r="832" spans="1:15" ht="15.75" customHeight="1" x14ac:dyDescent="0.3">
      <c r="A832" s="1">
        <v>590</v>
      </c>
      <c r="B832" s="2">
        <v>45686</v>
      </c>
      <c r="C832" s="1" t="s">
        <v>18</v>
      </c>
      <c r="D832" s="1" t="s">
        <v>37</v>
      </c>
      <c r="E832" s="1">
        <v>3</v>
      </c>
      <c r="F832" s="1">
        <v>7000</v>
      </c>
      <c r="G832" s="1">
        <v>21000</v>
      </c>
      <c r="H832" s="1">
        <v>5892</v>
      </c>
      <c r="I832" s="1" t="s">
        <v>16</v>
      </c>
      <c r="J832" s="1">
        <v>6</v>
      </c>
      <c r="K832" s="1" t="s">
        <v>16</v>
      </c>
      <c r="L832" s="1">
        <v>4</v>
      </c>
      <c r="M832" s="1" t="s">
        <v>17</v>
      </c>
      <c r="N832" s="5">
        <f>IF(Tabulka1[[#This Row],[E-shop]]="ano",1,0)</f>
        <v>1</v>
      </c>
      <c r="O832" s="5">
        <f>IF(Tabulka1[[#This Row],[Reklamace]]="ano",1,0)</f>
        <v>1</v>
      </c>
    </row>
    <row r="833" spans="1:15" ht="15.75" customHeight="1" x14ac:dyDescent="0.3">
      <c r="A833" s="1">
        <v>643</v>
      </c>
      <c r="B833" s="2">
        <v>45856</v>
      </c>
      <c r="C833" s="1" t="s">
        <v>36</v>
      </c>
      <c r="D833" s="1" t="s">
        <v>42</v>
      </c>
      <c r="E833" s="1">
        <v>3</v>
      </c>
      <c r="F833" s="1">
        <v>7000</v>
      </c>
      <c r="G833" s="1">
        <v>21000</v>
      </c>
      <c r="H833" s="1">
        <v>5598</v>
      </c>
      <c r="I833" s="1" t="s">
        <v>15</v>
      </c>
      <c r="J833" s="1">
        <v>7</v>
      </c>
      <c r="K833" s="1" t="s">
        <v>15</v>
      </c>
      <c r="L833" s="1">
        <v>3</v>
      </c>
      <c r="M833" s="1" t="s">
        <v>17</v>
      </c>
      <c r="N833" s="5">
        <f>IF(Tabulka1[[#This Row],[E-shop]]="ano",1,0)</f>
        <v>0</v>
      </c>
      <c r="O833" s="5">
        <f>IF(Tabulka1[[#This Row],[Reklamace]]="ano",1,0)</f>
        <v>0</v>
      </c>
    </row>
    <row r="834" spans="1:15" ht="15.75" customHeight="1" x14ac:dyDescent="0.3">
      <c r="A834" s="1">
        <v>819</v>
      </c>
      <c r="B834" s="2">
        <v>45724</v>
      </c>
      <c r="C834" s="1" t="s">
        <v>13</v>
      </c>
      <c r="D834" s="1" t="s">
        <v>46</v>
      </c>
      <c r="E834" s="1">
        <v>7</v>
      </c>
      <c r="F834" s="1">
        <v>3000</v>
      </c>
      <c r="G834" s="1">
        <v>21000</v>
      </c>
      <c r="H834" s="1">
        <v>5776</v>
      </c>
      <c r="I834" s="1" t="s">
        <v>16</v>
      </c>
      <c r="J834" s="1">
        <v>2</v>
      </c>
      <c r="K834" s="1" t="s">
        <v>15</v>
      </c>
      <c r="L834" s="1">
        <v>7</v>
      </c>
      <c r="M834" s="1" t="s">
        <v>17</v>
      </c>
      <c r="N834" s="5">
        <f>IF(Tabulka1[[#This Row],[E-shop]]="ano",1,0)</f>
        <v>1</v>
      </c>
      <c r="O834" s="5">
        <f>IF(Tabulka1[[#This Row],[Reklamace]]="ano",1,0)</f>
        <v>0</v>
      </c>
    </row>
    <row r="835" spans="1:15" ht="15.75" customHeight="1" x14ac:dyDescent="0.3">
      <c r="A835" s="1">
        <v>39</v>
      </c>
      <c r="B835" s="2">
        <v>45367</v>
      </c>
      <c r="C835" s="1" t="s">
        <v>31</v>
      </c>
      <c r="D835" s="1" t="s">
        <v>27</v>
      </c>
      <c r="E835" s="1">
        <v>5</v>
      </c>
      <c r="F835" s="1">
        <v>4000</v>
      </c>
      <c r="G835" s="1">
        <v>20000</v>
      </c>
      <c r="H835" s="1">
        <v>3408</v>
      </c>
      <c r="I835" s="1" t="s">
        <v>16</v>
      </c>
      <c r="J835" s="1">
        <v>3</v>
      </c>
      <c r="K835" s="1" t="s">
        <v>15</v>
      </c>
      <c r="L835" s="1">
        <v>6</v>
      </c>
      <c r="M835" s="1" t="s">
        <v>20</v>
      </c>
      <c r="N835" s="5">
        <f>IF(Tabulka1[[#This Row],[E-shop]]="ano",1,0)</f>
        <v>1</v>
      </c>
      <c r="O835" s="5">
        <f>IF(Tabulka1[[#This Row],[Reklamace]]="ano",1,0)</f>
        <v>0</v>
      </c>
    </row>
    <row r="836" spans="1:15" ht="15.75" customHeight="1" x14ac:dyDescent="0.3">
      <c r="A836" s="1">
        <v>219</v>
      </c>
      <c r="B836" s="2">
        <v>45293</v>
      </c>
      <c r="C836" s="1" t="s">
        <v>23</v>
      </c>
      <c r="D836" s="1" t="s">
        <v>27</v>
      </c>
      <c r="E836" s="1">
        <v>5</v>
      </c>
      <c r="F836" s="1">
        <v>4000</v>
      </c>
      <c r="G836" s="1">
        <v>20000</v>
      </c>
      <c r="H836" s="1">
        <v>5191</v>
      </c>
      <c r="I836" s="1" t="s">
        <v>15</v>
      </c>
      <c r="J836" s="1">
        <v>2</v>
      </c>
      <c r="K836" s="1" t="s">
        <v>16</v>
      </c>
      <c r="L836" s="1">
        <v>8</v>
      </c>
      <c r="M836" s="1" t="s">
        <v>20</v>
      </c>
      <c r="N836" s="5">
        <f>IF(Tabulka1[[#This Row],[E-shop]]="ano",1,0)</f>
        <v>0</v>
      </c>
      <c r="O836" s="5">
        <f>IF(Tabulka1[[#This Row],[Reklamace]]="ano",1,0)</f>
        <v>1</v>
      </c>
    </row>
    <row r="837" spans="1:15" ht="15.75" customHeight="1" x14ac:dyDescent="0.3">
      <c r="A837" s="1">
        <v>350</v>
      </c>
      <c r="B837" s="2">
        <v>45576</v>
      </c>
      <c r="C837" s="1" t="s">
        <v>18</v>
      </c>
      <c r="D837" s="1" t="s">
        <v>41</v>
      </c>
      <c r="E837" s="1">
        <v>4</v>
      </c>
      <c r="F837" s="1">
        <v>5000</v>
      </c>
      <c r="G837" s="1">
        <v>20000</v>
      </c>
      <c r="H837" s="1">
        <v>5412</v>
      </c>
      <c r="I837" s="1" t="s">
        <v>15</v>
      </c>
      <c r="J837" s="1">
        <v>7</v>
      </c>
      <c r="K837" s="1" t="s">
        <v>15</v>
      </c>
      <c r="L837" s="1">
        <v>4</v>
      </c>
      <c r="M837" s="1" t="s">
        <v>20</v>
      </c>
      <c r="N837" s="5">
        <f>IF(Tabulka1[[#This Row],[E-shop]]="ano",1,0)</f>
        <v>0</v>
      </c>
      <c r="O837" s="5">
        <f>IF(Tabulka1[[#This Row],[Reklamace]]="ano",1,0)</f>
        <v>0</v>
      </c>
    </row>
    <row r="838" spans="1:15" ht="15.75" customHeight="1" x14ac:dyDescent="0.3">
      <c r="A838" s="1">
        <v>423</v>
      </c>
      <c r="B838" s="2">
        <v>45334</v>
      </c>
      <c r="C838" s="1" t="s">
        <v>18</v>
      </c>
      <c r="D838" s="1" t="s">
        <v>44</v>
      </c>
      <c r="E838" s="1">
        <v>2</v>
      </c>
      <c r="F838" s="1">
        <v>10000</v>
      </c>
      <c r="G838" s="1">
        <v>20000</v>
      </c>
      <c r="H838" s="1">
        <v>3238</v>
      </c>
      <c r="I838" s="1" t="s">
        <v>15</v>
      </c>
      <c r="J838" s="1">
        <v>4</v>
      </c>
      <c r="K838" s="1" t="s">
        <v>15</v>
      </c>
      <c r="L838" s="1">
        <v>7</v>
      </c>
      <c r="M838" s="1" t="s">
        <v>20</v>
      </c>
      <c r="N838" s="5">
        <f>IF(Tabulka1[[#This Row],[E-shop]]="ano",1,0)</f>
        <v>0</v>
      </c>
      <c r="O838" s="5">
        <f>IF(Tabulka1[[#This Row],[Reklamace]]="ano",1,0)</f>
        <v>0</v>
      </c>
    </row>
    <row r="839" spans="1:15" ht="15.75" customHeight="1" x14ac:dyDescent="0.3">
      <c r="A839" s="1">
        <v>501</v>
      </c>
      <c r="B839" s="2">
        <v>45688</v>
      </c>
      <c r="C839" s="1" t="s">
        <v>36</v>
      </c>
      <c r="D839" s="1" t="s">
        <v>44</v>
      </c>
      <c r="E839" s="1">
        <v>2</v>
      </c>
      <c r="F839" s="1">
        <v>10000</v>
      </c>
      <c r="G839" s="1">
        <v>20000</v>
      </c>
      <c r="H839" s="1">
        <v>5317</v>
      </c>
      <c r="I839" s="1" t="s">
        <v>15</v>
      </c>
      <c r="J839" s="1">
        <v>6</v>
      </c>
      <c r="K839" s="1" t="s">
        <v>16</v>
      </c>
      <c r="L839" s="1">
        <v>4</v>
      </c>
      <c r="M839" s="1" t="s">
        <v>20</v>
      </c>
      <c r="N839" s="5">
        <f>IF(Tabulka1[[#This Row],[E-shop]]="ano",1,0)</f>
        <v>0</v>
      </c>
      <c r="O839" s="5">
        <f>IF(Tabulka1[[#This Row],[Reklamace]]="ano",1,0)</f>
        <v>1</v>
      </c>
    </row>
    <row r="840" spans="1:15" ht="15.75" customHeight="1" x14ac:dyDescent="0.3">
      <c r="A840" s="1">
        <v>524</v>
      </c>
      <c r="B840" s="2">
        <v>45645</v>
      </c>
      <c r="C840" s="1" t="s">
        <v>36</v>
      </c>
      <c r="D840" s="1" t="s">
        <v>41</v>
      </c>
      <c r="E840" s="1">
        <v>4</v>
      </c>
      <c r="F840" s="1">
        <v>5000</v>
      </c>
      <c r="G840" s="1">
        <v>20000</v>
      </c>
      <c r="H840" s="1">
        <v>5268</v>
      </c>
      <c r="I840" s="1" t="s">
        <v>15</v>
      </c>
      <c r="J840" s="1">
        <v>6</v>
      </c>
      <c r="K840" s="1" t="s">
        <v>15</v>
      </c>
      <c r="L840" s="1">
        <v>2</v>
      </c>
      <c r="M840" s="1" t="s">
        <v>20</v>
      </c>
      <c r="N840" s="5">
        <f>IF(Tabulka1[[#This Row],[E-shop]]="ano",1,0)</f>
        <v>0</v>
      </c>
      <c r="O840" s="5">
        <f>IF(Tabulka1[[#This Row],[Reklamace]]="ano",1,0)</f>
        <v>0</v>
      </c>
    </row>
    <row r="841" spans="1:15" ht="15.75" customHeight="1" x14ac:dyDescent="0.3">
      <c r="A841" s="1">
        <v>527</v>
      </c>
      <c r="B841" s="2">
        <v>45883</v>
      </c>
      <c r="C841" s="1" t="s">
        <v>31</v>
      </c>
      <c r="D841" s="1" t="s">
        <v>29</v>
      </c>
      <c r="E841" s="1">
        <v>1</v>
      </c>
      <c r="F841" s="1">
        <v>20000</v>
      </c>
      <c r="G841" s="1">
        <v>20000</v>
      </c>
      <c r="H841" s="1">
        <v>4112</v>
      </c>
      <c r="I841" s="1" t="s">
        <v>15</v>
      </c>
      <c r="J841" s="1">
        <v>4</v>
      </c>
      <c r="K841" s="1" t="s">
        <v>15</v>
      </c>
      <c r="L841" s="1">
        <v>6</v>
      </c>
      <c r="M841" s="1" t="s">
        <v>20</v>
      </c>
      <c r="N841" s="5">
        <f>IF(Tabulka1[[#This Row],[E-shop]]="ano",1,0)</f>
        <v>0</v>
      </c>
      <c r="O841" s="5">
        <f>IF(Tabulka1[[#This Row],[Reklamace]]="ano",1,0)</f>
        <v>0</v>
      </c>
    </row>
    <row r="842" spans="1:15" ht="15.75" customHeight="1" x14ac:dyDescent="0.3">
      <c r="A842" s="1">
        <v>557</v>
      </c>
      <c r="B842" s="2">
        <v>45963</v>
      </c>
      <c r="C842" s="1" t="s">
        <v>31</v>
      </c>
      <c r="D842" s="1" t="s">
        <v>29</v>
      </c>
      <c r="E842" s="1">
        <v>1</v>
      </c>
      <c r="F842" s="1">
        <v>20000</v>
      </c>
      <c r="G842" s="1">
        <v>20000</v>
      </c>
      <c r="H842" s="1">
        <v>3463</v>
      </c>
      <c r="I842" s="1" t="s">
        <v>16</v>
      </c>
      <c r="J842" s="1">
        <v>2</v>
      </c>
      <c r="K842" s="1" t="s">
        <v>15</v>
      </c>
      <c r="L842" s="1">
        <v>6</v>
      </c>
      <c r="M842" s="1" t="s">
        <v>20</v>
      </c>
      <c r="N842" s="5">
        <f>IF(Tabulka1[[#This Row],[E-shop]]="ano",1,0)</f>
        <v>1</v>
      </c>
      <c r="O842" s="5">
        <f>IF(Tabulka1[[#This Row],[Reklamace]]="ano",1,0)</f>
        <v>0</v>
      </c>
    </row>
    <row r="843" spans="1:15" ht="15.75" customHeight="1" x14ac:dyDescent="0.3">
      <c r="A843" s="1">
        <v>563</v>
      </c>
      <c r="B843" s="2">
        <v>45776</v>
      </c>
      <c r="C843" s="1" t="s">
        <v>23</v>
      </c>
      <c r="D843" s="1" t="s">
        <v>44</v>
      </c>
      <c r="E843" s="1">
        <v>2</v>
      </c>
      <c r="F843" s="1">
        <v>10000</v>
      </c>
      <c r="G843" s="1">
        <v>20000</v>
      </c>
      <c r="H843" s="1">
        <v>5207</v>
      </c>
      <c r="I843" s="1" t="s">
        <v>16</v>
      </c>
      <c r="J843" s="1">
        <v>3</v>
      </c>
      <c r="K843" s="1" t="s">
        <v>15</v>
      </c>
      <c r="L843" s="1">
        <v>6</v>
      </c>
      <c r="M843" s="1" t="s">
        <v>20</v>
      </c>
      <c r="N843" s="5">
        <f>IF(Tabulka1[[#This Row],[E-shop]]="ano",1,0)</f>
        <v>1</v>
      </c>
      <c r="O843" s="5">
        <f>IF(Tabulka1[[#This Row],[Reklamace]]="ano",1,0)</f>
        <v>0</v>
      </c>
    </row>
    <row r="844" spans="1:15" ht="15.75" customHeight="1" x14ac:dyDescent="0.3">
      <c r="A844" s="1">
        <v>622</v>
      </c>
      <c r="B844" s="2">
        <v>46015</v>
      </c>
      <c r="C844" s="1" t="s">
        <v>36</v>
      </c>
      <c r="D844" s="1" t="s">
        <v>32</v>
      </c>
      <c r="E844" s="1">
        <v>2</v>
      </c>
      <c r="F844" s="1">
        <v>10000</v>
      </c>
      <c r="G844" s="1">
        <v>20000</v>
      </c>
      <c r="H844" s="1">
        <v>4888</v>
      </c>
      <c r="I844" s="1" t="s">
        <v>15</v>
      </c>
      <c r="J844" s="1">
        <v>2</v>
      </c>
      <c r="K844" s="1" t="s">
        <v>15</v>
      </c>
      <c r="L844" s="1">
        <v>6</v>
      </c>
      <c r="M844" s="1" t="s">
        <v>20</v>
      </c>
      <c r="N844" s="5">
        <f>IF(Tabulka1[[#This Row],[E-shop]]="ano",1,0)</f>
        <v>0</v>
      </c>
      <c r="O844" s="5">
        <f>IF(Tabulka1[[#This Row],[Reklamace]]="ano",1,0)</f>
        <v>0</v>
      </c>
    </row>
    <row r="845" spans="1:15" ht="15.75" customHeight="1" x14ac:dyDescent="0.3">
      <c r="A845" s="1">
        <v>698</v>
      </c>
      <c r="B845" s="2">
        <v>45902</v>
      </c>
      <c r="C845" s="1" t="s">
        <v>13</v>
      </c>
      <c r="D845" s="1" t="s">
        <v>27</v>
      </c>
      <c r="E845" s="1">
        <v>5</v>
      </c>
      <c r="F845" s="1">
        <v>4000</v>
      </c>
      <c r="G845" s="1">
        <v>20000</v>
      </c>
      <c r="H845" s="1">
        <v>4118</v>
      </c>
      <c r="I845" s="1" t="s">
        <v>15</v>
      </c>
      <c r="J845" s="1">
        <v>5</v>
      </c>
      <c r="K845" s="1" t="s">
        <v>15</v>
      </c>
      <c r="L845" s="1">
        <v>6</v>
      </c>
      <c r="M845" s="1" t="s">
        <v>20</v>
      </c>
      <c r="N845" s="5">
        <f>IF(Tabulka1[[#This Row],[E-shop]]="ano",1,0)</f>
        <v>0</v>
      </c>
      <c r="O845" s="5">
        <f>IF(Tabulka1[[#This Row],[Reklamace]]="ano",1,0)</f>
        <v>0</v>
      </c>
    </row>
    <row r="846" spans="1:15" ht="15.75" customHeight="1" x14ac:dyDescent="0.3">
      <c r="A846" s="1">
        <v>730</v>
      </c>
      <c r="B846" s="2">
        <v>45777</v>
      </c>
      <c r="C846" s="1" t="s">
        <v>18</v>
      </c>
      <c r="D846" s="1" t="s">
        <v>41</v>
      </c>
      <c r="E846" s="1">
        <v>4</v>
      </c>
      <c r="F846" s="1">
        <v>5000</v>
      </c>
      <c r="G846" s="1">
        <v>20000</v>
      </c>
      <c r="H846" s="1">
        <v>4310</v>
      </c>
      <c r="I846" s="1" t="s">
        <v>15</v>
      </c>
      <c r="J846" s="1">
        <v>6</v>
      </c>
      <c r="K846" s="1" t="s">
        <v>15</v>
      </c>
      <c r="L846" s="1">
        <v>3</v>
      </c>
      <c r="M846" s="1" t="s">
        <v>17</v>
      </c>
      <c r="N846" s="5">
        <f>IF(Tabulka1[[#This Row],[E-shop]]="ano",1,0)</f>
        <v>0</v>
      </c>
      <c r="O846" s="5">
        <f>IF(Tabulka1[[#This Row],[Reklamace]]="ano",1,0)</f>
        <v>0</v>
      </c>
    </row>
    <row r="847" spans="1:15" ht="15.75" customHeight="1" x14ac:dyDescent="0.3">
      <c r="A847" s="1">
        <v>737</v>
      </c>
      <c r="B847" s="2">
        <v>45315</v>
      </c>
      <c r="C847" s="1" t="s">
        <v>31</v>
      </c>
      <c r="D847" s="1" t="s">
        <v>27</v>
      </c>
      <c r="E847" s="1">
        <v>5</v>
      </c>
      <c r="F847" s="1">
        <v>4000</v>
      </c>
      <c r="G847" s="1">
        <v>20000</v>
      </c>
      <c r="H847" s="1">
        <v>3582</v>
      </c>
      <c r="I847" s="1" t="s">
        <v>16</v>
      </c>
      <c r="J847" s="1">
        <v>7</v>
      </c>
      <c r="K847" s="1" t="s">
        <v>16</v>
      </c>
      <c r="L847" s="1">
        <v>2</v>
      </c>
      <c r="M847" s="1" t="s">
        <v>20</v>
      </c>
      <c r="N847" s="5">
        <f>IF(Tabulka1[[#This Row],[E-shop]]="ano",1,0)</f>
        <v>1</v>
      </c>
      <c r="O847" s="5">
        <f>IF(Tabulka1[[#This Row],[Reklamace]]="ano",1,0)</f>
        <v>1</v>
      </c>
    </row>
    <row r="848" spans="1:15" ht="15.75" customHeight="1" x14ac:dyDescent="0.3">
      <c r="A848" s="1">
        <v>861</v>
      </c>
      <c r="B848" s="2">
        <v>45958</v>
      </c>
      <c r="C848" s="1" t="s">
        <v>21</v>
      </c>
      <c r="D848" s="1" t="s">
        <v>29</v>
      </c>
      <c r="E848" s="1">
        <v>1</v>
      </c>
      <c r="F848" s="1">
        <v>20000</v>
      </c>
      <c r="G848" s="1">
        <v>20000</v>
      </c>
      <c r="H848" s="1">
        <v>5583</v>
      </c>
      <c r="I848" s="1" t="s">
        <v>15</v>
      </c>
      <c r="J848" s="1">
        <v>5</v>
      </c>
      <c r="K848" s="1" t="s">
        <v>16</v>
      </c>
      <c r="L848" s="1">
        <v>3</v>
      </c>
      <c r="M848" s="1" t="s">
        <v>20</v>
      </c>
      <c r="N848" s="5">
        <f>IF(Tabulka1[[#This Row],[E-shop]]="ano",1,0)</f>
        <v>0</v>
      </c>
      <c r="O848" s="5">
        <f>IF(Tabulka1[[#This Row],[Reklamace]]="ano",1,0)</f>
        <v>1</v>
      </c>
    </row>
    <row r="849" spans="1:15" ht="15.75" customHeight="1" x14ac:dyDescent="0.3">
      <c r="A849" s="1">
        <v>23</v>
      </c>
      <c r="B849" s="2">
        <v>45701</v>
      </c>
      <c r="C849" s="1" t="s">
        <v>31</v>
      </c>
      <c r="D849" s="1" t="s">
        <v>38</v>
      </c>
      <c r="E849" s="1">
        <v>2</v>
      </c>
      <c r="F849" s="1">
        <v>9000</v>
      </c>
      <c r="G849" s="1">
        <v>18000</v>
      </c>
      <c r="H849" s="1">
        <v>5362</v>
      </c>
      <c r="I849" s="1" t="s">
        <v>15</v>
      </c>
      <c r="J849" s="1">
        <v>1</v>
      </c>
      <c r="K849" s="1" t="s">
        <v>15</v>
      </c>
      <c r="L849" s="1">
        <v>10</v>
      </c>
      <c r="M849" s="1" t="s">
        <v>17</v>
      </c>
      <c r="N849" s="5">
        <f>IF(Tabulka1[[#This Row],[E-shop]]="ano",1,0)</f>
        <v>0</v>
      </c>
      <c r="O849" s="5">
        <f>IF(Tabulka1[[#This Row],[Reklamace]]="ano",1,0)</f>
        <v>0</v>
      </c>
    </row>
    <row r="850" spans="1:15" ht="15.75" customHeight="1" x14ac:dyDescent="0.3">
      <c r="A850" s="1">
        <v>78</v>
      </c>
      <c r="B850" s="2">
        <v>45861</v>
      </c>
      <c r="C850" s="1" t="s">
        <v>13</v>
      </c>
      <c r="D850" s="1" t="s">
        <v>19</v>
      </c>
      <c r="E850" s="1">
        <v>2</v>
      </c>
      <c r="F850" s="1">
        <v>9000</v>
      </c>
      <c r="G850" s="1">
        <v>18000</v>
      </c>
      <c r="H850" s="1">
        <v>2845</v>
      </c>
      <c r="I850" s="1" t="s">
        <v>15</v>
      </c>
      <c r="J850" s="1">
        <v>1</v>
      </c>
      <c r="K850" s="1" t="s">
        <v>15</v>
      </c>
      <c r="L850" s="1">
        <v>7</v>
      </c>
      <c r="M850" s="1" t="s">
        <v>20</v>
      </c>
      <c r="N850" s="5">
        <f>IF(Tabulka1[[#This Row],[E-shop]]="ano",1,0)</f>
        <v>0</v>
      </c>
      <c r="O850" s="5">
        <f>IF(Tabulka1[[#This Row],[Reklamace]]="ano",1,0)</f>
        <v>0</v>
      </c>
    </row>
    <row r="851" spans="1:15" ht="15.75" customHeight="1" x14ac:dyDescent="0.3">
      <c r="A851" s="1">
        <v>118</v>
      </c>
      <c r="B851" s="2">
        <v>45375</v>
      </c>
      <c r="C851" s="1" t="s">
        <v>23</v>
      </c>
      <c r="D851" s="1" t="s">
        <v>46</v>
      </c>
      <c r="E851" s="1">
        <v>6</v>
      </c>
      <c r="F851" s="1">
        <v>3000</v>
      </c>
      <c r="G851" s="1">
        <v>18000</v>
      </c>
      <c r="H851" s="1">
        <v>4947</v>
      </c>
      <c r="I851" s="1" t="s">
        <v>15</v>
      </c>
      <c r="J851" s="1">
        <v>3</v>
      </c>
      <c r="K851" s="1" t="s">
        <v>16</v>
      </c>
      <c r="L851" s="1">
        <v>5</v>
      </c>
      <c r="M851" s="1" t="s">
        <v>20</v>
      </c>
      <c r="N851" s="5">
        <f>IF(Tabulka1[[#This Row],[E-shop]]="ano",1,0)</f>
        <v>0</v>
      </c>
      <c r="O851" s="5">
        <f>IF(Tabulka1[[#This Row],[Reklamace]]="ano",1,0)</f>
        <v>1</v>
      </c>
    </row>
    <row r="852" spans="1:15" ht="15.75" customHeight="1" x14ac:dyDescent="0.3">
      <c r="A852" s="1">
        <v>199</v>
      </c>
      <c r="B852" s="2">
        <v>45958</v>
      </c>
      <c r="C852" s="1" t="s">
        <v>18</v>
      </c>
      <c r="D852" s="1" t="s">
        <v>46</v>
      </c>
      <c r="E852" s="1">
        <v>6</v>
      </c>
      <c r="F852" s="1">
        <v>3000</v>
      </c>
      <c r="G852" s="1">
        <v>18000</v>
      </c>
      <c r="H852" s="1">
        <v>4469</v>
      </c>
      <c r="I852" s="1" t="s">
        <v>15</v>
      </c>
      <c r="J852" s="1">
        <v>4</v>
      </c>
      <c r="K852" s="1" t="s">
        <v>15</v>
      </c>
      <c r="L852" s="1">
        <v>4</v>
      </c>
      <c r="M852" s="1" t="s">
        <v>20</v>
      </c>
      <c r="N852" s="5">
        <f>IF(Tabulka1[[#This Row],[E-shop]]="ano",1,0)</f>
        <v>0</v>
      </c>
      <c r="O852" s="5">
        <f>IF(Tabulka1[[#This Row],[Reklamace]]="ano",1,0)</f>
        <v>0</v>
      </c>
    </row>
    <row r="853" spans="1:15" ht="15.75" customHeight="1" x14ac:dyDescent="0.3">
      <c r="A853" s="1">
        <v>312</v>
      </c>
      <c r="B853" s="2">
        <v>45901</v>
      </c>
      <c r="C853" s="1" t="s">
        <v>36</v>
      </c>
      <c r="D853" s="1" t="s">
        <v>38</v>
      </c>
      <c r="E853" s="1">
        <v>2</v>
      </c>
      <c r="F853" s="1">
        <v>9000</v>
      </c>
      <c r="G853" s="1">
        <v>18000</v>
      </c>
      <c r="H853" s="1">
        <v>3989</v>
      </c>
      <c r="I853" s="1" t="s">
        <v>16</v>
      </c>
      <c r="J853" s="1">
        <v>3</v>
      </c>
      <c r="K853" s="1" t="s">
        <v>15</v>
      </c>
      <c r="L853" s="1">
        <v>6</v>
      </c>
      <c r="M853" s="1" t="s">
        <v>20</v>
      </c>
      <c r="N853" s="5">
        <f>IF(Tabulka1[[#This Row],[E-shop]]="ano",1,0)</f>
        <v>1</v>
      </c>
      <c r="O853" s="5">
        <f>IF(Tabulka1[[#This Row],[Reklamace]]="ano",1,0)</f>
        <v>0</v>
      </c>
    </row>
    <row r="854" spans="1:15" ht="15.75" customHeight="1" x14ac:dyDescent="0.3">
      <c r="A854" s="1">
        <v>388</v>
      </c>
      <c r="B854" s="2">
        <v>45869</v>
      </c>
      <c r="C854" s="1" t="s">
        <v>21</v>
      </c>
      <c r="D854" s="1" t="s">
        <v>28</v>
      </c>
      <c r="E854" s="1">
        <v>1</v>
      </c>
      <c r="F854" s="1">
        <v>18000</v>
      </c>
      <c r="G854" s="1">
        <v>18000</v>
      </c>
      <c r="H854" s="1">
        <v>4100</v>
      </c>
      <c r="I854" s="1" t="s">
        <v>15</v>
      </c>
      <c r="J854" s="1">
        <v>2</v>
      </c>
      <c r="K854" s="1" t="s">
        <v>15</v>
      </c>
      <c r="L854" s="1">
        <v>7</v>
      </c>
      <c r="M854" s="1" t="s">
        <v>20</v>
      </c>
      <c r="N854" s="5">
        <f>IF(Tabulka1[[#This Row],[E-shop]]="ano",1,0)</f>
        <v>0</v>
      </c>
      <c r="O854" s="5">
        <f>IF(Tabulka1[[#This Row],[Reklamace]]="ano",1,0)</f>
        <v>0</v>
      </c>
    </row>
    <row r="855" spans="1:15" ht="15.75" customHeight="1" x14ac:dyDescent="0.3">
      <c r="A855" s="1">
        <v>449</v>
      </c>
      <c r="B855" s="2">
        <v>45727</v>
      </c>
      <c r="C855" s="1" t="s">
        <v>31</v>
      </c>
      <c r="D855" s="1" t="s">
        <v>28</v>
      </c>
      <c r="E855" s="1">
        <v>1</v>
      </c>
      <c r="F855" s="1">
        <v>18000</v>
      </c>
      <c r="G855" s="1">
        <v>18000</v>
      </c>
      <c r="H855" s="1">
        <v>4820</v>
      </c>
      <c r="I855" s="1" t="s">
        <v>15</v>
      </c>
      <c r="J855" s="1">
        <v>3</v>
      </c>
      <c r="K855" s="1" t="s">
        <v>15</v>
      </c>
      <c r="L855" s="1">
        <v>6</v>
      </c>
      <c r="M855" s="1" t="s">
        <v>20</v>
      </c>
      <c r="N855" s="5">
        <f>IF(Tabulka1[[#This Row],[E-shop]]="ano",1,0)</f>
        <v>0</v>
      </c>
      <c r="O855" s="5">
        <f>IF(Tabulka1[[#This Row],[Reklamace]]="ano",1,0)</f>
        <v>0</v>
      </c>
    </row>
    <row r="856" spans="1:15" ht="15.75" customHeight="1" x14ac:dyDescent="0.3">
      <c r="A856" s="1">
        <v>478</v>
      </c>
      <c r="B856" s="2">
        <v>45630</v>
      </c>
      <c r="C856" s="1" t="s">
        <v>21</v>
      </c>
      <c r="D856" s="1" t="s">
        <v>38</v>
      </c>
      <c r="E856" s="1">
        <v>2</v>
      </c>
      <c r="F856" s="1">
        <v>9000</v>
      </c>
      <c r="G856" s="1">
        <v>18000</v>
      </c>
      <c r="H856" s="1">
        <v>3760</v>
      </c>
      <c r="I856" s="1" t="s">
        <v>16</v>
      </c>
      <c r="J856" s="1">
        <v>5</v>
      </c>
      <c r="K856" s="1" t="s">
        <v>15</v>
      </c>
      <c r="L856" s="1">
        <v>6</v>
      </c>
      <c r="M856" s="1" t="s">
        <v>20</v>
      </c>
      <c r="N856" s="5">
        <f>IF(Tabulka1[[#This Row],[E-shop]]="ano",1,0)</f>
        <v>1</v>
      </c>
      <c r="O856" s="5">
        <f>IF(Tabulka1[[#This Row],[Reklamace]]="ano",1,0)</f>
        <v>0</v>
      </c>
    </row>
    <row r="857" spans="1:15" ht="15.75" customHeight="1" x14ac:dyDescent="0.3">
      <c r="A857" s="1">
        <v>489</v>
      </c>
      <c r="B857" s="2">
        <v>45785</v>
      </c>
      <c r="C857" s="1" t="s">
        <v>18</v>
      </c>
      <c r="D857" s="1" t="s">
        <v>38</v>
      </c>
      <c r="E857" s="1">
        <v>2</v>
      </c>
      <c r="F857" s="1">
        <v>9000</v>
      </c>
      <c r="G857" s="1">
        <v>18000</v>
      </c>
      <c r="H857" s="1">
        <v>3917</v>
      </c>
      <c r="I857" s="1" t="s">
        <v>15</v>
      </c>
      <c r="J857" s="1">
        <v>6</v>
      </c>
      <c r="K857" s="1" t="s">
        <v>16</v>
      </c>
      <c r="L857" s="1">
        <v>4</v>
      </c>
      <c r="M857" s="1" t="s">
        <v>20</v>
      </c>
      <c r="N857" s="5">
        <f>IF(Tabulka1[[#This Row],[E-shop]]="ano",1,0)</f>
        <v>0</v>
      </c>
      <c r="O857" s="5">
        <f>IF(Tabulka1[[#This Row],[Reklamace]]="ano",1,0)</f>
        <v>1</v>
      </c>
    </row>
    <row r="858" spans="1:15" ht="15.75" customHeight="1" x14ac:dyDescent="0.3">
      <c r="A858" s="1">
        <v>651</v>
      </c>
      <c r="B858" s="2">
        <v>45344</v>
      </c>
      <c r="C858" s="1" t="s">
        <v>21</v>
      </c>
      <c r="D858" s="1" t="s">
        <v>46</v>
      </c>
      <c r="E858" s="1">
        <v>6</v>
      </c>
      <c r="F858" s="1">
        <v>3000</v>
      </c>
      <c r="G858" s="1">
        <v>18000</v>
      </c>
      <c r="H858" s="1">
        <v>2851</v>
      </c>
      <c r="I858" s="1" t="s">
        <v>15</v>
      </c>
      <c r="J858" s="1">
        <v>8</v>
      </c>
      <c r="K858" s="1" t="s">
        <v>16</v>
      </c>
      <c r="L858" s="1">
        <v>3</v>
      </c>
      <c r="M858" s="1" t="s">
        <v>20</v>
      </c>
      <c r="N858" s="5">
        <f>IF(Tabulka1[[#This Row],[E-shop]]="ano",1,0)</f>
        <v>0</v>
      </c>
      <c r="O858" s="5">
        <f>IF(Tabulka1[[#This Row],[Reklamace]]="ano",1,0)</f>
        <v>1</v>
      </c>
    </row>
    <row r="859" spans="1:15" ht="15.75" customHeight="1" x14ac:dyDescent="0.3">
      <c r="A859" s="1">
        <v>659</v>
      </c>
      <c r="B859" s="2">
        <v>45594</v>
      </c>
      <c r="C859" s="1" t="s">
        <v>25</v>
      </c>
      <c r="D859" s="1" t="s">
        <v>33</v>
      </c>
      <c r="E859" s="1">
        <v>3</v>
      </c>
      <c r="F859" s="1">
        <v>6000</v>
      </c>
      <c r="G859" s="1">
        <v>18000</v>
      </c>
      <c r="H859" s="1">
        <v>2853</v>
      </c>
      <c r="I859" s="1" t="s">
        <v>16</v>
      </c>
      <c r="J859" s="1">
        <v>3</v>
      </c>
      <c r="K859" s="1" t="s">
        <v>15</v>
      </c>
      <c r="L859" s="1">
        <v>7</v>
      </c>
      <c r="M859" s="1" t="s">
        <v>20</v>
      </c>
      <c r="N859" s="5">
        <f>IF(Tabulka1[[#This Row],[E-shop]]="ano",1,0)</f>
        <v>1</v>
      </c>
      <c r="O859" s="5">
        <f>IF(Tabulka1[[#This Row],[Reklamace]]="ano",1,0)</f>
        <v>0</v>
      </c>
    </row>
    <row r="860" spans="1:15" ht="15.75" customHeight="1" x14ac:dyDescent="0.3">
      <c r="A860" s="1">
        <v>732</v>
      </c>
      <c r="B860" s="2">
        <v>45911</v>
      </c>
      <c r="C860" s="1" t="s">
        <v>18</v>
      </c>
      <c r="D860" s="1" t="s">
        <v>28</v>
      </c>
      <c r="E860" s="1">
        <v>1</v>
      </c>
      <c r="F860" s="1">
        <v>18000</v>
      </c>
      <c r="G860" s="1">
        <v>18000</v>
      </c>
      <c r="H860" s="1">
        <v>4858</v>
      </c>
      <c r="I860" s="1" t="s">
        <v>16</v>
      </c>
      <c r="J860" s="1">
        <v>3</v>
      </c>
      <c r="K860" s="1" t="s">
        <v>15</v>
      </c>
      <c r="L860" s="1">
        <v>8</v>
      </c>
      <c r="M860" s="1" t="s">
        <v>20</v>
      </c>
      <c r="N860" s="5">
        <f>IF(Tabulka1[[#This Row],[E-shop]]="ano",1,0)</f>
        <v>1</v>
      </c>
      <c r="O860" s="5">
        <f>IF(Tabulka1[[#This Row],[Reklamace]]="ano",1,0)</f>
        <v>0</v>
      </c>
    </row>
    <row r="861" spans="1:15" ht="15.75" customHeight="1" x14ac:dyDescent="0.3">
      <c r="A861" s="1">
        <v>790</v>
      </c>
      <c r="B861" s="2">
        <v>45939</v>
      </c>
      <c r="C861" s="1" t="s">
        <v>21</v>
      </c>
      <c r="D861" s="1" t="s">
        <v>19</v>
      </c>
      <c r="E861" s="1">
        <v>2</v>
      </c>
      <c r="F861" s="1">
        <v>9000</v>
      </c>
      <c r="G861" s="1">
        <v>18000</v>
      </c>
      <c r="H861" s="1">
        <v>4645</v>
      </c>
      <c r="I861" s="1" t="s">
        <v>15</v>
      </c>
      <c r="J861" s="1">
        <v>6</v>
      </c>
      <c r="K861" s="1" t="s">
        <v>15</v>
      </c>
      <c r="L861" s="1">
        <v>5</v>
      </c>
      <c r="M861" s="1" t="s">
        <v>20</v>
      </c>
      <c r="N861" s="5">
        <f>IF(Tabulka1[[#This Row],[E-shop]]="ano",1,0)</f>
        <v>0</v>
      </c>
      <c r="O861" s="5">
        <f>IF(Tabulka1[[#This Row],[Reklamace]]="ano",1,0)</f>
        <v>0</v>
      </c>
    </row>
    <row r="862" spans="1:15" ht="15.75" customHeight="1" x14ac:dyDescent="0.3">
      <c r="A862" s="1">
        <v>827</v>
      </c>
      <c r="B862" s="2">
        <v>45878</v>
      </c>
      <c r="C862" s="1" t="s">
        <v>18</v>
      </c>
      <c r="D862" s="1" t="s">
        <v>19</v>
      </c>
      <c r="E862" s="1">
        <v>2</v>
      </c>
      <c r="F862" s="1">
        <v>9000</v>
      </c>
      <c r="G862" s="1">
        <v>18000</v>
      </c>
      <c r="H862" s="1">
        <v>4924</v>
      </c>
      <c r="I862" s="1" t="s">
        <v>15</v>
      </c>
      <c r="J862" s="1">
        <v>3</v>
      </c>
      <c r="K862" s="1" t="s">
        <v>15</v>
      </c>
      <c r="L862" s="1">
        <v>5</v>
      </c>
      <c r="M862" s="1" t="s">
        <v>20</v>
      </c>
      <c r="N862" s="5">
        <f>IF(Tabulka1[[#This Row],[E-shop]]="ano",1,0)</f>
        <v>0</v>
      </c>
      <c r="O862" s="5">
        <f>IF(Tabulka1[[#This Row],[Reklamace]]="ano",1,0)</f>
        <v>0</v>
      </c>
    </row>
    <row r="863" spans="1:15" ht="15.75" customHeight="1" x14ac:dyDescent="0.3">
      <c r="A863" s="1">
        <v>901</v>
      </c>
      <c r="B863" s="2">
        <v>45416</v>
      </c>
      <c r="C863" s="1" t="s">
        <v>18</v>
      </c>
      <c r="D863" s="1" t="s">
        <v>38</v>
      </c>
      <c r="E863" s="1">
        <v>2</v>
      </c>
      <c r="F863" s="1">
        <v>9000</v>
      </c>
      <c r="G863" s="1">
        <v>18000</v>
      </c>
      <c r="H863" s="1">
        <v>5267</v>
      </c>
      <c r="I863" s="1" t="s">
        <v>15</v>
      </c>
      <c r="J863" s="1">
        <v>4</v>
      </c>
      <c r="K863" s="1" t="s">
        <v>15</v>
      </c>
      <c r="L863" s="1">
        <v>6</v>
      </c>
      <c r="M863" s="1" t="s">
        <v>17</v>
      </c>
      <c r="N863" s="5">
        <f>IF(Tabulka1[[#This Row],[E-shop]]="ano",1,0)</f>
        <v>0</v>
      </c>
      <c r="O863" s="5">
        <f>IF(Tabulka1[[#This Row],[Reklamace]]="ano",1,0)</f>
        <v>0</v>
      </c>
    </row>
    <row r="864" spans="1:15" ht="15.75" customHeight="1" x14ac:dyDescent="0.3">
      <c r="A864" s="1">
        <v>938</v>
      </c>
      <c r="B864" s="2">
        <v>45651</v>
      </c>
      <c r="C864" s="1" t="s">
        <v>25</v>
      </c>
      <c r="D864" s="1" t="s">
        <v>19</v>
      </c>
      <c r="E864" s="1">
        <v>2</v>
      </c>
      <c r="F864" s="1">
        <v>9000</v>
      </c>
      <c r="G864" s="1">
        <v>18000</v>
      </c>
      <c r="H864" s="1">
        <v>3621</v>
      </c>
      <c r="I864" s="1" t="s">
        <v>15</v>
      </c>
      <c r="J864" s="1">
        <v>3</v>
      </c>
      <c r="K864" s="1" t="s">
        <v>15</v>
      </c>
      <c r="L864" s="1">
        <v>8</v>
      </c>
      <c r="M864" s="1" t="s">
        <v>20</v>
      </c>
      <c r="N864" s="5">
        <f>IF(Tabulka1[[#This Row],[E-shop]]="ano",1,0)</f>
        <v>0</v>
      </c>
      <c r="O864" s="5">
        <f>IF(Tabulka1[[#This Row],[Reklamace]]="ano",1,0)</f>
        <v>0</v>
      </c>
    </row>
    <row r="865" spans="1:15" ht="15.75" customHeight="1" x14ac:dyDescent="0.3">
      <c r="A865" s="1">
        <v>961</v>
      </c>
      <c r="B865" s="2">
        <v>45595</v>
      </c>
      <c r="C865" s="1" t="s">
        <v>13</v>
      </c>
      <c r="D865" s="1" t="s">
        <v>38</v>
      </c>
      <c r="E865" s="1">
        <v>2</v>
      </c>
      <c r="F865" s="1">
        <v>9000</v>
      </c>
      <c r="G865" s="1">
        <v>18000</v>
      </c>
      <c r="H865" s="1">
        <v>3266</v>
      </c>
      <c r="I865" s="1" t="s">
        <v>16</v>
      </c>
      <c r="J865" s="1">
        <v>2</v>
      </c>
      <c r="K865" s="1" t="s">
        <v>15</v>
      </c>
      <c r="L865" s="1">
        <v>6</v>
      </c>
      <c r="M865" s="1" t="s">
        <v>20</v>
      </c>
      <c r="N865" s="5">
        <f>IF(Tabulka1[[#This Row],[E-shop]]="ano",1,0)</f>
        <v>1</v>
      </c>
      <c r="O865" s="5">
        <f>IF(Tabulka1[[#This Row],[Reklamace]]="ano",1,0)</f>
        <v>0</v>
      </c>
    </row>
    <row r="866" spans="1:15" ht="15.75" customHeight="1" x14ac:dyDescent="0.3">
      <c r="A866" s="1">
        <v>25</v>
      </c>
      <c r="B866" s="2">
        <v>45788</v>
      </c>
      <c r="C866" s="1" t="s">
        <v>18</v>
      </c>
      <c r="D866" s="1" t="s">
        <v>39</v>
      </c>
      <c r="E866" s="1">
        <v>7</v>
      </c>
      <c r="F866" s="1">
        <v>2500</v>
      </c>
      <c r="G866" s="1">
        <v>17500</v>
      </c>
      <c r="H866" s="1">
        <v>4608</v>
      </c>
      <c r="I866" s="1" t="s">
        <v>16</v>
      </c>
      <c r="J866" s="1">
        <v>2</v>
      </c>
      <c r="K866" s="1" t="s">
        <v>15</v>
      </c>
      <c r="L866" s="1">
        <v>7</v>
      </c>
      <c r="M866" s="1" t="s">
        <v>20</v>
      </c>
      <c r="N866" s="5">
        <f>IF(Tabulka1[[#This Row],[E-shop]]="ano",1,0)</f>
        <v>1</v>
      </c>
      <c r="O866" s="5">
        <f>IF(Tabulka1[[#This Row],[Reklamace]]="ano",1,0)</f>
        <v>0</v>
      </c>
    </row>
    <row r="867" spans="1:15" ht="15.75" customHeight="1" x14ac:dyDescent="0.3">
      <c r="A867" s="1">
        <v>128</v>
      </c>
      <c r="B867" s="2">
        <v>45719</v>
      </c>
      <c r="C867" s="1" t="s">
        <v>31</v>
      </c>
      <c r="D867" s="1" t="s">
        <v>39</v>
      </c>
      <c r="E867" s="1">
        <v>7</v>
      </c>
      <c r="F867" s="1">
        <v>2500</v>
      </c>
      <c r="G867" s="1">
        <v>17500</v>
      </c>
      <c r="H867" s="1">
        <v>4704</v>
      </c>
      <c r="I867" s="1" t="s">
        <v>15</v>
      </c>
      <c r="J867" s="1">
        <v>5</v>
      </c>
      <c r="K867" s="1" t="s">
        <v>16</v>
      </c>
      <c r="L867" s="1">
        <v>6</v>
      </c>
      <c r="M867" s="1" t="s">
        <v>20</v>
      </c>
      <c r="N867" s="5">
        <f>IF(Tabulka1[[#This Row],[E-shop]]="ano",1,0)</f>
        <v>0</v>
      </c>
      <c r="O867" s="5">
        <f>IF(Tabulka1[[#This Row],[Reklamace]]="ano",1,0)</f>
        <v>1</v>
      </c>
    </row>
    <row r="868" spans="1:15" ht="15.75" customHeight="1" x14ac:dyDescent="0.3">
      <c r="A868" s="1">
        <v>170</v>
      </c>
      <c r="B868" s="2">
        <v>45301</v>
      </c>
      <c r="C868" s="1" t="s">
        <v>13</v>
      </c>
      <c r="D868" s="1" t="s">
        <v>34</v>
      </c>
      <c r="E868" s="1">
        <v>5</v>
      </c>
      <c r="F868" s="1">
        <v>3500</v>
      </c>
      <c r="G868" s="1">
        <v>17500</v>
      </c>
      <c r="H868" s="1">
        <v>4383</v>
      </c>
      <c r="I868" s="1" t="s">
        <v>15</v>
      </c>
      <c r="J868" s="1">
        <v>8</v>
      </c>
      <c r="K868" s="1" t="s">
        <v>16</v>
      </c>
      <c r="L868" s="1">
        <v>3</v>
      </c>
      <c r="M868" s="1" t="s">
        <v>20</v>
      </c>
      <c r="N868" s="5">
        <f>IF(Tabulka1[[#This Row],[E-shop]]="ano",1,0)</f>
        <v>0</v>
      </c>
      <c r="O868" s="5">
        <f>IF(Tabulka1[[#This Row],[Reklamace]]="ano",1,0)</f>
        <v>1</v>
      </c>
    </row>
    <row r="869" spans="1:15" ht="15.75" customHeight="1" x14ac:dyDescent="0.3">
      <c r="A869" s="1">
        <v>263</v>
      </c>
      <c r="B869" s="2">
        <v>45561</v>
      </c>
      <c r="C869" s="1" t="s">
        <v>23</v>
      </c>
      <c r="D869" s="1" t="s">
        <v>45</v>
      </c>
      <c r="E869" s="1">
        <v>5</v>
      </c>
      <c r="F869" s="1">
        <v>3500</v>
      </c>
      <c r="G869" s="1">
        <v>17500</v>
      </c>
      <c r="H869" s="1">
        <v>2974</v>
      </c>
      <c r="I869" s="1" t="s">
        <v>16</v>
      </c>
      <c r="J869" s="1">
        <v>8</v>
      </c>
      <c r="K869" s="1" t="s">
        <v>16</v>
      </c>
      <c r="L869" s="1">
        <v>1</v>
      </c>
      <c r="M869" s="1" t="s">
        <v>20</v>
      </c>
      <c r="N869" s="5">
        <f>IF(Tabulka1[[#This Row],[E-shop]]="ano",1,0)</f>
        <v>1</v>
      </c>
      <c r="O869" s="5">
        <f>IF(Tabulka1[[#This Row],[Reklamace]]="ano",1,0)</f>
        <v>1</v>
      </c>
    </row>
    <row r="870" spans="1:15" ht="15.75" customHeight="1" x14ac:dyDescent="0.3">
      <c r="A870" s="1">
        <v>331</v>
      </c>
      <c r="B870" s="2">
        <v>45810</v>
      </c>
      <c r="C870" s="1" t="s">
        <v>31</v>
      </c>
      <c r="D870" s="1" t="s">
        <v>45</v>
      </c>
      <c r="E870" s="1">
        <v>5</v>
      </c>
      <c r="F870" s="1">
        <v>3500</v>
      </c>
      <c r="G870" s="1">
        <v>17500</v>
      </c>
      <c r="H870" s="1">
        <v>3402</v>
      </c>
      <c r="I870" s="1" t="s">
        <v>15</v>
      </c>
      <c r="J870" s="1">
        <v>3</v>
      </c>
      <c r="K870" s="1" t="s">
        <v>15</v>
      </c>
      <c r="L870" s="1">
        <v>6</v>
      </c>
      <c r="M870" s="1" t="s">
        <v>20</v>
      </c>
      <c r="N870" s="5">
        <f>IF(Tabulka1[[#This Row],[E-shop]]="ano",1,0)</f>
        <v>0</v>
      </c>
      <c r="O870" s="5">
        <f>IF(Tabulka1[[#This Row],[Reklamace]]="ano",1,0)</f>
        <v>0</v>
      </c>
    </row>
    <row r="871" spans="1:15" ht="15.75" customHeight="1" x14ac:dyDescent="0.3">
      <c r="A871" s="1">
        <v>546</v>
      </c>
      <c r="B871" s="2">
        <v>45639</v>
      </c>
      <c r="C871" s="1" t="s">
        <v>21</v>
      </c>
      <c r="D871" s="1" t="s">
        <v>45</v>
      </c>
      <c r="E871" s="1">
        <v>5</v>
      </c>
      <c r="F871" s="1">
        <v>3500</v>
      </c>
      <c r="G871" s="1">
        <v>17500</v>
      </c>
      <c r="H871" s="1">
        <v>4139</v>
      </c>
      <c r="I871" s="1" t="s">
        <v>15</v>
      </c>
      <c r="J871" s="1">
        <v>8</v>
      </c>
      <c r="K871" s="1" t="s">
        <v>16</v>
      </c>
      <c r="L871" s="1">
        <v>2</v>
      </c>
      <c r="M871" s="1" t="s">
        <v>20</v>
      </c>
      <c r="N871" s="5">
        <f>IF(Tabulka1[[#This Row],[E-shop]]="ano",1,0)</f>
        <v>0</v>
      </c>
      <c r="O871" s="5">
        <f>IF(Tabulka1[[#This Row],[Reklamace]]="ano",1,0)</f>
        <v>1</v>
      </c>
    </row>
    <row r="872" spans="1:15" ht="15.75" customHeight="1" x14ac:dyDescent="0.3">
      <c r="A872" s="1">
        <v>660</v>
      </c>
      <c r="B872" s="2">
        <v>45432</v>
      </c>
      <c r="C872" s="1" t="s">
        <v>25</v>
      </c>
      <c r="D872" s="1" t="s">
        <v>39</v>
      </c>
      <c r="E872" s="1">
        <v>7</v>
      </c>
      <c r="F872" s="1">
        <v>2500</v>
      </c>
      <c r="G872" s="1">
        <v>17500</v>
      </c>
      <c r="H872" s="1">
        <v>3201</v>
      </c>
      <c r="I872" s="1" t="s">
        <v>16</v>
      </c>
      <c r="J872" s="1">
        <v>3</v>
      </c>
      <c r="K872" s="1" t="s">
        <v>15</v>
      </c>
      <c r="L872" s="1">
        <v>5</v>
      </c>
      <c r="M872" s="1" t="s">
        <v>20</v>
      </c>
      <c r="N872" s="5">
        <f>IF(Tabulka1[[#This Row],[E-shop]]="ano",1,0)</f>
        <v>1</v>
      </c>
      <c r="O872" s="5">
        <f>IF(Tabulka1[[#This Row],[Reklamace]]="ano",1,0)</f>
        <v>0</v>
      </c>
    </row>
    <row r="873" spans="1:15" ht="15.75" customHeight="1" x14ac:dyDescent="0.3">
      <c r="A873" s="1">
        <v>718</v>
      </c>
      <c r="B873" s="2">
        <v>45797</v>
      </c>
      <c r="C873" s="1" t="s">
        <v>18</v>
      </c>
      <c r="D873" s="1" t="s">
        <v>45</v>
      </c>
      <c r="E873" s="1">
        <v>5</v>
      </c>
      <c r="F873" s="1">
        <v>3500</v>
      </c>
      <c r="G873" s="1">
        <v>17500</v>
      </c>
      <c r="H873" s="1">
        <v>4068</v>
      </c>
      <c r="I873" s="1" t="s">
        <v>15</v>
      </c>
      <c r="J873" s="1">
        <v>2</v>
      </c>
      <c r="K873" s="1" t="s">
        <v>15</v>
      </c>
      <c r="L873" s="1">
        <v>9</v>
      </c>
      <c r="M873" s="1" t="s">
        <v>20</v>
      </c>
      <c r="N873" s="5">
        <f>IF(Tabulka1[[#This Row],[E-shop]]="ano",1,0)</f>
        <v>0</v>
      </c>
      <c r="O873" s="5">
        <f>IF(Tabulka1[[#This Row],[Reklamace]]="ano",1,0)</f>
        <v>0</v>
      </c>
    </row>
    <row r="874" spans="1:15" ht="15.75" customHeight="1" x14ac:dyDescent="0.3">
      <c r="A874" s="1">
        <v>840</v>
      </c>
      <c r="B874" s="2">
        <v>45823</v>
      </c>
      <c r="C874" s="1" t="s">
        <v>25</v>
      </c>
      <c r="D874" s="1" t="s">
        <v>39</v>
      </c>
      <c r="E874" s="1">
        <v>7</v>
      </c>
      <c r="F874" s="1">
        <v>2500</v>
      </c>
      <c r="G874" s="1">
        <v>17500</v>
      </c>
      <c r="H874" s="1">
        <v>4078</v>
      </c>
      <c r="I874" s="1" t="s">
        <v>16</v>
      </c>
      <c r="J874" s="1">
        <v>4</v>
      </c>
      <c r="K874" s="1" t="s">
        <v>15</v>
      </c>
      <c r="L874" s="1">
        <v>7</v>
      </c>
      <c r="M874" s="1" t="s">
        <v>20</v>
      </c>
      <c r="N874" s="5">
        <f>IF(Tabulka1[[#This Row],[E-shop]]="ano",1,0)</f>
        <v>1</v>
      </c>
      <c r="O874" s="5">
        <f>IF(Tabulka1[[#This Row],[Reklamace]]="ano",1,0)</f>
        <v>0</v>
      </c>
    </row>
    <row r="875" spans="1:15" ht="15.75" customHeight="1" x14ac:dyDescent="0.3">
      <c r="A875" s="1">
        <v>996</v>
      </c>
      <c r="B875" s="2">
        <v>45841</v>
      </c>
      <c r="C875" s="1" t="s">
        <v>31</v>
      </c>
      <c r="D875" s="1" t="s">
        <v>39</v>
      </c>
      <c r="E875" s="1">
        <v>7</v>
      </c>
      <c r="F875" s="1">
        <v>2500</v>
      </c>
      <c r="G875" s="1">
        <v>17500</v>
      </c>
      <c r="H875" s="1">
        <v>3751</v>
      </c>
      <c r="I875" s="1" t="s">
        <v>16</v>
      </c>
      <c r="J875" s="1">
        <v>5</v>
      </c>
      <c r="K875" s="1" t="s">
        <v>15</v>
      </c>
      <c r="L875" s="1">
        <v>3</v>
      </c>
      <c r="M875" s="1" t="s">
        <v>20</v>
      </c>
      <c r="N875" s="5">
        <f>IF(Tabulka1[[#This Row],[E-shop]]="ano",1,0)</f>
        <v>1</v>
      </c>
      <c r="O875" s="5">
        <f>IF(Tabulka1[[#This Row],[Reklamace]]="ano",1,0)</f>
        <v>0</v>
      </c>
    </row>
    <row r="876" spans="1:15" ht="15.75" customHeight="1" x14ac:dyDescent="0.3">
      <c r="A876" s="1">
        <v>12</v>
      </c>
      <c r="B876" s="2">
        <v>45931</v>
      </c>
      <c r="C876" s="1" t="s">
        <v>23</v>
      </c>
      <c r="D876" s="1" t="s">
        <v>30</v>
      </c>
      <c r="E876" s="1">
        <v>2</v>
      </c>
      <c r="F876" s="1">
        <v>8000</v>
      </c>
      <c r="G876" s="1">
        <v>16000</v>
      </c>
      <c r="H876" s="1">
        <v>3765</v>
      </c>
      <c r="I876" s="1" t="s">
        <v>15</v>
      </c>
      <c r="J876" s="1">
        <v>5</v>
      </c>
      <c r="K876" s="1" t="s">
        <v>15</v>
      </c>
      <c r="L876" s="1">
        <v>5</v>
      </c>
      <c r="M876" s="1" t="s">
        <v>20</v>
      </c>
      <c r="N876" s="5">
        <f>IF(Tabulka1[[#This Row],[E-shop]]="ano",1,0)</f>
        <v>0</v>
      </c>
      <c r="O876" s="5">
        <f>IF(Tabulka1[[#This Row],[Reklamace]]="ano",1,0)</f>
        <v>0</v>
      </c>
    </row>
    <row r="877" spans="1:15" ht="15.75" customHeight="1" x14ac:dyDescent="0.3">
      <c r="A877" s="1">
        <v>60</v>
      </c>
      <c r="B877" s="2">
        <v>45664</v>
      </c>
      <c r="C877" s="1" t="s">
        <v>13</v>
      </c>
      <c r="D877" s="1" t="s">
        <v>30</v>
      </c>
      <c r="E877" s="1">
        <v>2</v>
      </c>
      <c r="F877" s="1">
        <v>8000</v>
      </c>
      <c r="G877" s="1">
        <v>16000</v>
      </c>
      <c r="H877" s="1">
        <v>2471</v>
      </c>
      <c r="I877" s="1" t="s">
        <v>15</v>
      </c>
      <c r="J877" s="1">
        <v>7</v>
      </c>
      <c r="K877" s="1" t="s">
        <v>16</v>
      </c>
      <c r="L877" s="1">
        <v>1</v>
      </c>
      <c r="M877" s="1" t="s">
        <v>20</v>
      </c>
      <c r="N877" s="5">
        <f>IF(Tabulka1[[#This Row],[E-shop]]="ano",1,0)</f>
        <v>0</v>
      </c>
      <c r="O877" s="5">
        <f>IF(Tabulka1[[#This Row],[Reklamace]]="ano",1,0)</f>
        <v>1</v>
      </c>
    </row>
    <row r="878" spans="1:15" ht="15.75" customHeight="1" x14ac:dyDescent="0.3">
      <c r="A878" s="1">
        <v>93</v>
      </c>
      <c r="B878" s="2">
        <v>45861</v>
      </c>
      <c r="C878" s="1" t="s">
        <v>18</v>
      </c>
      <c r="D878" s="1" t="s">
        <v>30</v>
      </c>
      <c r="E878" s="1">
        <v>2</v>
      </c>
      <c r="F878" s="1">
        <v>8000</v>
      </c>
      <c r="G878" s="1">
        <v>16000</v>
      </c>
      <c r="H878" s="1">
        <v>2511</v>
      </c>
      <c r="I878" s="1" t="s">
        <v>16</v>
      </c>
      <c r="J878" s="1">
        <v>2</v>
      </c>
      <c r="K878" s="1" t="s">
        <v>15</v>
      </c>
      <c r="L878" s="1">
        <v>6</v>
      </c>
      <c r="M878" s="1" t="s">
        <v>20</v>
      </c>
      <c r="N878" s="5">
        <f>IF(Tabulka1[[#This Row],[E-shop]]="ano",1,0)</f>
        <v>1</v>
      </c>
      <c r="O878" s="5">
        <f>IF(Tabulka1[[#This Row],[Reklamace]]="ano",1,0)</f>
        <v>0</v>
      </c>
    </row>
    <row r="879" spans="1:15" ht="15.75" customHeight="1" x14ac:dyDescent="0.3">
      <c r="A879" s="1">
        <v>167</v>
      </c>
      <c r="B879" s="2">
        <v>45784</v>
      </c>
      <c r="C879" s="1" t="s">
        <v>36</v>
      </c>
      <c r="D879" s="1" t="s">
        <v>27</v>
      </c>
      <c r="E879" s="1">
        <v>4</v>
      </c>
      <c r="F879" s="1">
        <v>4000</v>
      </c>
      <c r="G879" s="1">
        <v>16000</v>
      </c>
      <c r="H879" s="1">
        <v>4460</v>
      </c>
      <c r="I879" s="1" t="s">
        <v>15</v>
      </c>
      <c r="J879" s="1">
        <v>6</v>
      </c>
      <c r="K879" s="1" t="s">
        <v>16</v>
      </c>
      <c r="L879" s="1">
        <v>3</v>
      </c>
      <c r="M879" s="1" t="s">
        <v>20</v>
      </c>
      <c r="N879" s="5">
        <f>IF(Tabulka1[[#This Row],[E-shop]]="ano",1,0)</f>
        <v>0</v>
      </c>
      <c r="O879" s="5">
        <f>IF(Tabulka1[[#This Row],[Reklamace]]="ano",1,0)</f>
        <v>1</v>
      </c>
    </row>
    <row r="880" spans="1:15" ht="15.75" customHeight="1" x14ac:dyDescent="0.3">
      <c r="A880" s="1">
        <v>810</v>
      </c>
      <c r="B880" s="2">
        <v>45438</v>
      </c>
      <c r="C880" s="1" t="s">
        <v>18</v>
      </c>
      <c r="D880" s="1" t="s">
        <v>30</v>
      </c>
      <c r="E880" s="1">
        <v>2</v>
      </c>
      <c r="F880" s="1">
        <v>8000</v>
      </c>
      <c r="G880" s="1">
        <v>16000</v>
      </c>
      <c r="H880" s="1">
        <v>3170</v>
      </c>
      <c r="I880" s="1" t="s">
        <v>15</v>
      </c>
      <c r="J880" s="1">
        <v>6</v>
      </c>
      <c r="K880" s="1" t="s">
        <v>16</v>
      </c>
      <c r="L880" s="1">
        <v>3</v>
      </c>
      <c r="M880" s="1" t="s">
        <v>20</v>
      </c>
      <c r="N880" s="5">
        <f>IF(Tabulka1[[#This Row],[E-shop]]="ano",1,0)</f>
        <v>0</v>
      </c>
      <c r="O880" s="5">
        <f>IF(Tabulka1[[#This Row],[Reklamace]]="ano",1,0)</f>
        <v>1</v>
      </c>
    </row>
    <row r="881" spans="1:15" ht="15.75" customHeight="1" x14ac:dyDescent="0.3">
      <c r="A881" s="1">
        <v>945</v>
      </c>
      <c r="B881" s="2">
        <v>45833</v>
      </c>
      <c r="C881" s="1" t="s">
        <v>36</v>
      </c>
      <c r="D881" s="1" t="s">
        <v>30</v>
      </c>
      <c r="E881" s="1">
        <v>2</v>
      </c>
      <c r="F881" s="1">
        <v>8000</v>
      </c>
      <c r="G881" s="1">
        <v>16000</v>
      </c>
      <c r="H881" s="1">
        <v>2468</v>
      </c>
      <c r="I881" s="1" t="s">
        <v>16</v>
      </c>
      <c r="J881" s="1">
        <v>3</v>
      </c>
      <c r="K881" s="1" t="s">
        <v>15</v>
      </c>
      <c r="L881" s="1">
        <v>5</v>
      </c>
      <c r="M881" s="1" t="s">
        <v>20</v>
      </c>
      <c r="N881" s="5">
        <f>IF(Tabulka1[[#This Row],[E-shop]]="ano",1,0)</f>
        <v>1</v>
      </c>
      <c r="O881" s="5">
        <f>IF(Tabulka1[[#This Row],[Reklamace]]="ano",1,0)</f>
        <v>0</v>
      </c>
    </row>
    <row r="882" spans="1:15" ht="15.75" customHeight="1" x14ac:dyDescent="0.3">
      <c r="A882" s="1">
        <v>31</v>
      </c>
      <c r="B882" s="2">
        <v>45916</v>
      </c>
      <c r="C882" s="1" t="s">
        <v>31</v>
      </c>
      <c r="D882" s="1" t="s">
        <v>39</v>
      </c>
      <c r="E882" s="1">
        <v>6</v>
      </c>
      <c r="F882" s="1">
        <v>2500</v>
      </c>
      <c r="G882" s="1">
        <v>15000</v>
      </c>
      <c r="H882" s="1">
        <v>2653</v>
      </c>
      <c r="I882" s="1" t="s">
        <v>15</v>
      </c>
      <c r="J882" s="1">
        <v>3</v>
      </c>
      <c r="K882" s="1" t="s">
        <v>15</v>
      </c>
      <c r="L882" s="1">
        <v>6</v>
      </c>
      <c r="M882" s="1" t="s">
        <v>20</v>
      </c>
      <c r="N882" s="5">
        <f>IF(Tabulka1[[#This Row],[E-shop]]="ano",1,0)</f>
        <v>0</v>
      </c>
      <c r="O882" s="5">
        <f>IF(Tabulka1[[#This Row],[Reklamace]]="ano",1,0)</f>
        <v>0</v>
      </c>
    </row>
    <row r="883" spans="1:15" ht="15.75" customHeight="1" x14ac:dyDescent="0.3">
      <c r="A883" s="1">
        <v>71</v>
      </c>
      <c r="B883" s="2">
        <v>45414</v>
      </c>
      <c r="C883" s="1" t="s">
        <v>18</v>
      </c>
      <c r="D883" s="1" t="s">
        <v>39</v>
      </c>
      <c r="E883" s="1">
        <v>6</v>
      </c>
      <c r="F883" s="1">
        <v>2500</v>
      </c>
      <c r="G883" s="1">
        <v>15000</v>
      </c>
      <c r="H883" s="1">
        <v>2948</v>
      </c>
      <c r="I883" s="1" t="s">
        <v>15</v>
      </c>
      <c r="J883" s="1">
        <v>3</v>
      </c>
      <c r="K883" s="1" t="s">
        <v>15</v>
      </c>
      <c r="L883" s="1">
        <v>6</v>
      </c>
      <c r="M883" s="1" t="s">
        <v>20</v>
      </c>
      <c r="N883" s="5">
        <f>IF(Tabulka1[[#This Row],[E-shop]]="ano",1,0)</f>
        <v>0</v>
      </c>
      <c r="O883" s="5">
        <f>IF(Tabulka1[[#This Row],[Reklamace]]="ano",1,0)</f>
        <v>0</v>
      </c>
    </row>
    <row r="884" spans="1:15" ht="15.75" customHeight="1" x14ac:dyDescent="0.3">
      <c r="A884" s="1">
        <v>211</v>
      </c>
      <c r="B884" s="2">
        <v>45761</v>
      </c>
      <c r="C884" s="1" t="s">
        <v>36</v>
      </c>
      <c r="D884" s="1" t="s">
        <v>46</v>
      </c>
      <c r="E884" s="1">
        <v>5</v>
      </c>
      <c r="F884" s="1">
        <v>3000</v>
      </c>
      <c r="G884" s="1">
        <v>15000</v>
      </c>
      <c r="H884" s="1">
        <v>3815</v>
      </c>
      <c r="I884" s="1" t="s">
        <v>15</v>
      </c>
      <c r="J884" s="1">
        <v>8</v>
      </c>
      <c r="K884" s="1" t="s">
        <v>16</v>
      </c>
      <c r="L884" s="1">
        <v>3</v>
      </c>
      <c r="M884" s="1" t="s">
        <v>20</v>
      </c>
      <c r="N884" s="5">
        <f>IF(Tabulka1[[#This Row],[E-shop]]="ano",1,0)</f>
        <v>0</v>
      </c>
      <c r="O884" s="5">
        <f>IF(Tabulka1[[#This Row],[Reklamace]]="ano",1,0)</f>
        <v>1</v>
      </c>
    </row>
    <row r="885" spans="1:15" ht="15.75" customHeight="1" x14ac:dyDescent="0.3">
      <c r="A885" s="1">
        <v>292</v>
      </c>
      <c r="B885" s="2">
        <v>46007</v>
      </c>
      <c r="C885" s="1" t="s">
        <v>25</v>
      </c>
      <c r="D885" s="1" t="s">
        <v>46</v>
      </c>
      <c r="E885" s="1">
        <v>5</v>
      </c>
      <c r="F885" s="1">
        <v>3000</v>
      </c>
      <c r="G885" s="1">
        <v>15000</v>
      </c>
      <c r="H885" s="1">
        <v>3253</v>
      </c>
      <c r="I885" s="1" t="s">
        <v>15</v>
      </c>
      <c r="J885" s="1">
        <v>8</v>
      </c>
      <c r="K885" s="1" t="s">
        <v>16</v>
      </c>
      <c r="L885" s="1">
        <v>1</v>
      </c>
      <c r="M885" s="1" t="s">
        <v>20</v>
      </c>
      <c r="N885" s="5">
        <f>IF(Tabulka1[[#This Row],[E-shop]]="ano",1,0)</f>
        <v>0</v>
      </c>
      <c r="O885" s="5">
        <f>IF(Tabulka1[[#This Row],[Reklamace]]="ano",1,0)</f>
        <v>1</v>
      </c>
    </row>
    <row r="886" spans="1:15" ht="15.75" customHeight="1" x14ac:dyDescent="0.3">
      <c r="A886" s="1">
        <v>701</v>
      </c>
      <c r="B886" s="2">
        <v>45750</v>
      </c>
      <c r="C886" s="1" t="s">
        <v>21</v>
      </c>
      <c r="D886" s="1" t="s">
        <v>41</v>
      </c>
      <c r="E886" s="1">
        <v>3</v>
      </c>
      <c r="F886" s="1">
        <v>5000</v>
      </c>
      <c r="G886" s="1">
        <v>15000</v>
      </c>
      <c r="H886" s="1">
        <v>3900</v>
      </c>
      <c r="I886" s="1" t="s">
        <v>15</v>
      </c>
      <c r="J886" s="1">
        <v>3</v>
      </c>
      <c r="K886" s="1" t="s">
        <v>15</v>
      </c>
      <c r="L886" s="1">
        <v>7</v>
      </c>
      <c r="M886" s="1" t="s">
        <v>20</v>
      </c>
      <c r="N886" s="5">
        <f>IF(Tabulka1[[#This Row],[E-shop]]="ano",1,0)</f>
        <v>0</v>
      </c>
      <c r="O886" s="5">
        <f>IF(Tabulka1[[#This Row],[Reklamace]]="ano",1,0)</f>
        <v>0</v>
      </c>
    </row>
    <row r="887" spans="1:15" ht="15.75" customHeight="1" x14ac:dyDescent="0.3">
      <c r="A887" s="1">
        <v>740</v>
      </c>
      <c r="B887" s="2">
        <v>45833</v>
      </c>
      <c r="C887" s="1" t="s">
        <v>25</v>
      </c>
      <c r="D887" s="1" t="s">
        <v>41</v>
      </c>
      <c r="E887" s="1">
        <v>3</v>
      </c>
      <c r="F887" s="1">
        <v>5000</v>
      </c>
      <c r="G887" s="1">
        <v>15000</v>
      </c>
      <c r="H887" s="1">
        <v>2460</v>
      </c>
      <c r="I887" s="1" t="s">
        <v>15</v>
      </c>
      <c r="J887" s="1">
        <v>7</v>
      </c>
      <c r="K887" s="1" t="s">
        <v>16</v>
      </c>
      <c r="L887" s="1">
        <v>1</v>
      </c>
      <c r="M887" s="1" t="s">
        <v>20</v>
      </c>
      <c r="N887" s="5">
        <f>IF(Tabulka1[[#This Row],[E-shop]]="ano",1,0)</f>
        <v>0</v>
      </c>
      <c r="O887" s="5">
        <f>IF(Tabulka1[[#This Row],[Reklamace]]="ano",1,0)</f>
        <v>1</v>
      </c>
    </row>
    <row r="888" spans="1:15" ht="15.75" customHeight="1" x14ac:dyDescent="0.3">
      <c r="A888" s="1">
        <v>842</v>
      </c>
      <c r="B888" s="2">
        <v>45994</v>
      </c>
      <c r="C888" s="1" t="s">
        <v>31</v>
      </c>
      <c r="D888" s="1" t="s">
        <v>41</v>
      </c>
      <c r="E888" s="1">
        <v>3</v>
      </c>
      <c r="F888" s="1">
        <v>5000</v>
      </c>
      <c r="G888" s="1">
        <v>15000</v>
      </c>
      <c r="H888" s="1">
        <v>2589</v>
      </c>
      <c r="I888" s="1" t="s">
        <v>15</v>
      </c>
      <c r="J888" s="1">
        <v>4</v>
      </c>
      <c r="K888" s="1" t="s">
        <v>15</v>
      </c>
      <c r="L888" s="1">
        <v>7</v>
      </c>
      <c r="M888" s="1" t="s">
        <v>20</v>
      </c>
      <c r="N888" s="5">
        <f>IF(Tabulka1[[#This Row],[E-shop]]="ano",1,0)</f>
        <v>0</v>
      </c>
      <c r="O888" s="5">
        <f>IF(Tabulka1[[#This Row],[Reklamace]]="ano",1,0)</f>
        <v>0</v>
      </c>
    </row>
    <row r="889" spans="1:15" ht="15.75" customHeight="1" x14ac:dyDescent="0.3">
      <c r="A889" s="1">
        <v>859</v>
      </c>
      <c r="B889" s="2">
        <v>45925</v>
      </c>
      <c r="C889" s="1" t="s">
        <v>18</v>
      </c>
      <c r="D889" s="1" t="s">
        <v>39</v>
      </c>
      <c r="E889" s="1">
        <v>6</v>
      </c>
      <c r="F889" s="1">
        <v>2500</v>
      </c>
      <c r="G889" s="1">
        <v>15000</v>
      </c>
      <c r="H889" s="1">
        <v>3715</v>
      </c>
      <c r="I889" s="1" t="s">
        <v>15</v>
      </c>
      <c r="J889" s="1">
        <v>2</v>
      </c>
      <c r="K889" s="1" t="s">
        <v>15</v>
      </c>
      <c r="L889" s="1">
        <v>8</v>
      </c>
      <c r="M889" s="1" t="s">
        <v>17</v>
      </c>
      <c r="N889" s="5">
        <f>IF(Tabulka1[[#This Row],[E-shop]]="ano",1,0)</f>
        <v>0</v>
      </c>
      <c r="O889" s="5">
        <f>IF(Tabulka1[[#This Row],[Reklamace]]="ano",1,0)</f>
        <v>0</v>
      </c>
    </row>
    <row r="890" spans="1:15" ht="15.75" customHeight="1" x14ac:dyDescent="0.3">
      <c r="A890" s="1">
        <v>57</v>
      </c>
      <c r="B890" s="2">
        <v>45521</v>
      </c>
      <c r="C890" s="1" t="s">
        <v>13</v>
      </c>
      <c r="D890" s="1" t="s">
        <v>40</v>
      </c>
      <c r="E890" s="1">
        <v>1</v>
      </c>
      <c r="F890" s="1">
        <v>14000</v>
      </c>
      <c r="G890" s="1">
        <v>14000</v>
      </c>
      <c r="H890" s="1">
        <v>2768</v>
      </c>
      <c r="I890" s="1" t="s">
        <v>16</v>
      </c>
      <c r="J890" s="1">
        <v>3</v>
      </c>
      <c r="K890" s="1" t="s">
        <v>15</v>
      </c>
      <c r="L890" s="1">
        <v>8</v>
      </c>
      <c r="M890" s="1" t="s">
        <v>20</v>
      </c>
      <c r="N890" s="5">
        <f>IF(Tabulka1[[#This Row],[E-shop]]="ano",1,0)</f>
        <v>1</v>
      </c>
      <c r="O890" s="5">
        <f>IF(Tabulka1[[#This Row],[Reklamace]]="ano",1,0)</f>
        <v>0</v>
      </c>
    </row>
    <row r="891" spans="1:15" ht="15.75" customHeight="1" x14ac:dyDescent="0.3">
      <c r="A891" s="1">
        <v>59</v>
      </c>
      <c r="B891" s="2">
        <v>45472</v>
      </c>
      <c r="C891" s="1" t="s">
        <v>31</v>
      </c>
      <c r="D891" s="1" t="s">
        <v>34</v>
      </c>
      <c r="E891" s="1">
        <v>4</v>
      </c>
      <c r="F891" s="1">
        <v>3500</v>
      </c>
      <c r="G891" s="1">
        <v>14000</v>
      </c>
      <c r="H891" s="1">
        <v>3433</v>
      </c>
      <c r="I891" s="1" t="s">
        <v>15</v>
      </c>
      <c r="J891" s="1">
        <v>7</v>
      </c>
      <c r="K891" s="1" t="s">
        <v>16</v>
      </c>
      <c r="L891" s="1">
        <v>4</v>
      </c>
      <c r="M891" s="1" t="s">
        <v>17</v>
      </c>
      <c r="N891" s="5">
        <f>IF(Tabulka1[[#This Row],[E-shop]]="ano",1,0)</f>
        <v>0</v>
      </c>
      <c r="O891" s="5">
        <f>IF(Tabulka1[[#This Row],[Reklamace]]="ano",1,0)</f>
        <v>1</v>
      </c>
    </row>
    <row r="892" spans="1:15" ht="15.75" customHeight="1" x14ac:dyDescent="0.3">
      <c r="A892" s="1">
        <v>91</v>
      </c>
      <c r="B892" s="2">
        <v>45901</v>
      </c>
      <c r="C892" s="1" t="s">
        <v>21</v>
      </c>
      <c r="D892" s="1" t="s">
        <v>45</v>
      </c>
      <c r="E892" s="1">
        <v>4</v>
      </c>
      <c r="F892" s="1">
        <v>3500</v>
      </c>
      <c r="G892" s="1">
        <v>14000</v>
      </c>
      <c r="H892" s="1">
        <v>3088</v>
      </c>
      <c r="I892" s="1" t="s">
        <v>15</v>
      </c>
      <c r="J892" s="1">
        <v>1</v>
      </c>
      <c r="K892" s="1" t="s">
        <v>15</v>
      </c>
      <c r="L892" s="1">
        <v>7</v>
      </c>
      <c r="M892" s="1" t="s">
        <v>20</v>
      </c>
      <c r="N892" s="5">
        <f>IF(Tabulka1[[#This Row],[E-shop]]="ano",1,0)</f>
        <v>0</v>
      </c>
      <c r="O892" s="5">
        <f>IF(Tabulka1[[#This Row],[Reklamace]]="ano",1,0)</f>
        <v>0</v>
      </c>
    </row>
    <row r="893" spans="1:15" ht="15.75" customHeight="1" x14ac:dyDescent="0.3">
      <c r="A893" s="1">
        <v>106</v>
      </c>
      <c r="B893" s="2">
        <v>45303</v>
      </c>
      <c r="C893" s="1" t="s">
        <v>13</v>
      </c>
      <c r="D893" s="1" t="s">
        <v>34</v>
      </c>
      <c r="E893" s="1">
        <v>4</v>
      </c>
      <c r="F893" s="1">
        <v>3500</v>
      </c>
      <c r="G893" s="1">
        <v>14000</v>
      </c>
      <c r="H893" s="1">
        <v>3578</v>
      </c>
      <c r="I893" s="1" t="s">
        <v>15</v>
      </c>
      <c r="J893" s="1">
        <v>5</v>
      </c>
      <c r="K893" s="1" t="s">
        <v>15</v>
      </c>
      <c r="L893" s="1">
        <v>5</v>
      </c>
      <c r="M893" s="1" t="s">
        <v>20</v>
      </c>
      <c r="N893" s="5">
        <f>IF(Tabulka1[[#This Row],[E-shop]]="ano",1,0)</f>
        <v>0</v>
      </c>
      <c r="O893" s="5">
        <f>IF(Tabulka1[[#This Row],[Reklamace]]="ano",1,0)</f>
        <v>0</v>
      </c>
    </row>
    <row r="894" spans="1:15" ht="15.75" customHeight="1" x14ac:dyDescent="0.3">
      <c r="A894" s="1">
        <v>137</v>
      </c>
      <c r="B894" s="2">
        <v>45420</v>
      </c>
      <c r="C894" s="1" t="s">
        <v>21</v>
      </c>
      <c r="D894" s="1" t="s">
        <v>40</v>
      </c>
      <c r="E894" s="1">
        <v>1</v>
      </c>
      <c r="F894" s="1">
        <v>14000</v>
      </c>
      <c r="G894" s="1">
        <v>14000</v>
      </c>
      <c r="H894" s="1">
        <v>2469</v>
      </c>
      <c r="I894" s="1" t="s">
        <v>15</v>
      </c>
      <c r="J894" s="1">
        <v>6</v>
      </c>
      <c r="K894" s="1" t="s">
        <v>15</v>
      </c>
      <c r="L894" s="1">
        <v>5</v>
      </c>
      <c r="M894" s="1" t="s">
        <v>20</v>
      </c>
      <c r="N894" s="5">
        <f>IF(Tabulka1[[#This Row],[E-shop]]="ano",1,0)</f>
        <v>0</v>
      </c>
      <c r="O894" s="5">
        <f>IF(Tabulka1[[#This Row],[Reklamace]]="ano",1,0)</f>
        <v>0</v>
      </c>
    </row>
    <row r="895" spans="1:15" ht="15.75" customHeight="1" x14ac:dyDescent="0.3">
      <c r="A895" s="1">
        <v>165</v>
      </c>
      <c r="B895" s="2">
        <v>45335</v>
      </c>
      <c r="C895" s="1" t="s">
        <v>23</v>
      </c>
      <c r="D895" s="1" t="s">
        <v>45</v>
      </c>
      <c r="E895" s="1">
        <v>4</v>
      </c>
      <c r="F895" s="1">
        <v>3500</v>
      </c>
      <c r="G895" s="1">
        <v>14000</v>
      </c>
      <c r="H895" s="1">
        <v>3045</v>
      </c>
      <c r="I895" s="1" t="s">
        <v>16</v>
      </c>
      <c r="J895" s="1">
        <v>2</v>
      </c>
      <c r="K895" s="1" t="s">
        <v>15</v>
      </c>
      <c r="L895" s="1">
        <v>9</v>
      </c>
      <c r="M895" s="1" t="s">
        <v>20</v>
      </c>
      <c r="N895" s="5">
        <f>IF(Tabulka1[[#This Row],[E-shop]]="ano",1,0)</f>
        <v>1</v>
      </c>
      <c r="O895" s="5">
        <f>IF(Tabulka1[[#This Row],[Reklamace]]="ano",1,0)</f>
        <v>0</v>
      </c>
    </row>
    <row r="896" spans="1:15" ht="15.75" customHeight="1" x14ac:dyDescent="0.3">
      <c r="A896" s="1">
        <v>198</v>
      </c>
      <c r="B896" s="2">
        <v>45860</v>
      </c>
      <c r="C896" s="1" t="s">
        <v>13</v>
      </c>
      <c r="D896" s="1" t="s">
        <v>24</v>
      </c>
      <c r="E896" s="1">
        <v>2</v>
      </c>
      <c r="F896" s="1">
        <v>7000</v>
      </c>
      <c r="G896" s="1">
        <v>14000</v>
      </c>
      <c r="H896" s="1">
        <v>3967</v>
      </c>
      <c r="I896" s="1" t="s">
        <v>16</v>
      </c>
      <c r="J896" s="1">
        <v>7</v>
      </c>
      <c r="K896" s="1" t="s">
        <v>16</v>
      </c>
      <c r="L896" s="1">
        <v>3</v>
      </c>
      <c r="M896" s="1" t="s">
        <v>20</v>
      </c>
      <c r="N896" s="5">
        <f>IF(Tabulka1[[#This Row],[E-shop]]="ano",1,0)</f>
        <v>1</v>
      </c>
      <c r="O896" s="5">
        <f>IF(Tabulka1[[#This Row],[Reklamace]]="ano",1,0)</f>
        <v>1</v>
      </c>
    </row>
    <row r="897" spans="1:15" ht="15.75" customHeight="1" x14ac:dyDescent="0.3">
      <c r="A897" s="1">
        <v>232</v>
      </c>
      <c r="B897" s="2">
        <v>45806</v>
      </c>
      <c r="C897" s="1" t="s">
        <v>18</v>
      </c>
      <c r="D897" s="1" t="s">
        <v>37</v>
      </c>
      <c r="E897" s="1">
        <v>2</v>
      </c>
      <c r="F897" s="1">
        <v>7000</v>
      </c>
      <c r="G897" s="1">
        <v>14000</v>
      </c>
      <c r="H897" s="1">
        <v>4144</v>
      </c>
      <c r="I897" s="1" t="s">
        <v>15</v>
      </c>
      <c r="J897" s="1">
        <v>3</v>
      </c>
      <c r="K897" s="1" t="s">
        <v>15</v>
      </c>
      <c r="L897" s="1">
        <v>7</v>
      </c>
      <c r="M897" s="1" t="s">
        <v>17</v>
      </c>
      <c r="N897" s="5">
        <f>IF(Tabulka1[[#This Row],[E-shop]]="ano",1,0)</f>
        <v>0</v>
      </c>
      <c r="O897" s="5">
        <f>IF(Tabulka1[[#This Row],[Reklamace]]="ano",1,0)</f>
        <v>0</v>
      </c>
    </row>
    <row r="898" spans="1:15" ht="15.75" customHeight="1" x14ac:dyDescent="0.3">
      <c r="A898" s="1">
        <v>416</v>
      </c>
      <c r="B898" s="2">
        <v>45343</v>
      </c>
      <c r="C898" s="1" t="s">
        <v>18</v>
      </c>
      <c r="D898" s="1" t="s">
        <v>45</v>
      </c>
      <c r="E898" s="1">
        <v>4</v>
      </c>
      <c r="F898" s="1">
        <v>3500</v>
      </c>
      <c r="G898" s="1">
        <v>14000</v>
      </c>
      <c r="H898" s="1">
        <v>3909</v>
      </c>
      <c r="I898" s="1" t="s">
        <v>15</v>
      </c>
      <c r="J898" s="1">
        <v>5</v>
      </c>
      <c r="K898" s="1" t="s">
        <v>15</v>
      </c>
      <c r="L898" s="1">
        <v>6</v>
      </c>
      <c r="M898" s="1" t="s">
        <v>20</v>
      </c>
      <c r="N898" s="5">
        <f>IF(Tabulka1[[#This Row],[E-shop]]="ano",1,0)</f>
        <v>0</v>
      </c>
      <c r="O898" s="5">
        <f>IF(Tabulka1[[#This Row],[Reklamace]]="ano",1,0)</f>
        <v>0</v>
      </c>
    </row>
    <row r="899" spans="1:15" ht="15.75" customHeight="1" x14ac:dyDescent="0.3">
      <c r="A899" s="1">
        <v>430</v>
      </c>
      <c r="B899" s="2">
        <v>45924</v>
      </c>
      <c r="C899" s="1" t="s">
        <v>31</v>
      </c>
      <c r="D899" s="1" t="s">
        <v>37</v>
      </c>
      <c r="E899" s="1">
        <v>2</v>
      </c>
      <c r="F899" s="1">
        <v>7000</v>
      </c>
      <c r="G899" s="1">
        <v>14000</v>
      </c>
      <c r="H899" s="1">
        <v>3026</v>
      </c>
      <c r="I899" s="1" t="s">
        <v>15</v>
      </c>
      <c r="J899" s="1">
        <v>2</v>
      </c>
      <c r="K899" s="1" t="s">
        <v>15</v>
      </c>
      <c r="L899" s="1">
        <v>6</v>
      </c>
      <c r="M899" s="1" t="s">
        <v>20</v>
      </c>
      <c r="N899" s="5">
        <f>IF(Tabulka1[[#This Row],[E-shop]]="ano",1,0)</f>
        <v>0</v>
      </c>
      <c r="O899" s="5">
        <f>IF(Tabulka1[[#This Row],[Reklamace]]="ano",1,0)</f>
        <v>0</v>
      </c>
    </row>
    <row r="900" spans="1:15" ht="15.75" customHeight="1" x14ac:dyDescent="0.3">
      <c r="A900" s="1">
        <v>447</v>
      </c>
      <c r="B900" s="2">
        <v>45471</v>
      </c>
      <c r="C900" s="1" t="s">
        <v>18</v>
      </c>
      <c r="D900" s="1" t="s">
        <v>42</v>
      </c>
      <c r="E900" s="1">
        <v>2</v>
      </c>
      <c r="F900" s="1">
        <v>7000</v>
      </c>
      <c r="G900" s="1">
        <v>14000</v>
      </c>
      <c r="H900" s="1">
        <v>2555</v>
      </c>
      <c r="I900" s="1" t="s">
        <v>16</v>
      </c>
      <c r="J900" s="1">
        <v>1</v>
      </c>
      <c r="K900" s="1" t="s">
        <v>15</v>
      </c>
      <c r="L900" s="1">
        <v>10</v>
      </c>
      <c r="M900" s="1" t="s">
        <v>20</v>
      </c>
      <c r="N900" s="5">
        <f>IF(Tabulka1[[#This Row],[E-shop]]="ano",1,0)</f>
        <v>1</v>
      </c>
      <c r="O900" s="5">
        <f>IF(Tabulka1[[#This Row],[Reklamace]]="ano",1,0)</f>
        <v>0</v>
      </c>
    </row>
    <row r="901" spans="1:15" ht="15.75" customHeight="1" x14ac:dyDescent="0.3">
      <c r="A901" s="1">
        <v>455</v>
      </c>
      <c r="B901" s="2">
        <v>45648</v>
      </c>
      <c r="C901" s="1" t="s">
        <v>36</v>
      </c>
      <c r="D901" s="1" t="s">
        <v>40</v>
      </c>
      <c r="E901" s="1">
        <v>1</v>
      </c>
      <c r="F901" s="1">
        <v>14000</v>
      </c>
      <c r="G901" s="1">
        <v>14000</v>
      </c>
      <c r="H901" s="1">
        <v>2733</v>
      </c>
      <c r="I901" s="1" t="s">
        <v>16</v>
      </c>
      <c r="J901" s="1">
        <v>2</v>
      </c>
      <c r="K901" s="1" t="s">
        <v>15</v>
      </c>
      <c r="L901" s="1">
        <v>8</v>
      </c>
      <c r="M901" s="1" t="s">
        <v>20</v>
      </c>
      <c r="N901" s="5">
        <f>IF(Tabulka1[[#This Row],[E-shop]]="ano",1,0)</f>
        <v>1</v>
      </c>
      <c r="O901" s="5">
        <f>IF(Tabulka1[[#This Row],[Reklamace]]="ano",1,0)</f>
        <v>0</v>
      </c>
    </row>
    <row r="902" spans="1:15" ht="15.75" customHeight="1" x14ac:dyDescent="0.3">
      <c r="A902" s="1">
        <v>513</v>
      </c>
      <c r="B902" s="2">
        <v>45979</v>
      </c>
      <c r="C902" s="1" t="s">
        <v>36</v>
      </c>
      <c r="D902" s="1" t="s">
        <v>34</v>
      </c>
      <c r="E902" s="1">
        <v>4</v>
      </c>
      <c r="F902" s="1">
        <v>3500</v>
      </c>
      <c r="G902" s="1">
        <v>14000</v>
      </c>
      <c r="H902" s="1">
        <v>3038</v>
      </c>
      <c r="I902" s="1" t="s">
        <v>15</v>
      </c>
      <c r="J902" s="1">
        <v>3</v>
      </c>
      <c r="K902" s="1" t="s">
        <v>15</v>
      </c>
      <c r="L902" s="1">
        <v>7</v>
      </c>
      <c r="M902" s="1" t="s">
        <v>20</v>
      </c>
      <c r="N902" s="5">
        <f>IF(Tabulka1[[#This Row],[E-shop]]="ano",1,0)</f>
        <v>0</v>
      </c>
      <c r="O902" s="5">
        <f>IF(Tabulka1[[#This Row],[Reklamace]]="ano",1,0)</f>
        <v>0</v>
      </c>
    </row>
    <row r="903" spans="1:15" ht="15.75" customHeight="1" x14ac:dyDescent="0.3">
      <c r="A903" s="1">
        <v>634</v>
      </c>
      <c r="B903" s="2">
        <v>45665</v>
      </c>
      <c r="C903" s="1" t="s">
        <v>25</v>
      </c>
      <c r="D903" s="1" t="s">
        <v>34</v>
      </c>
      <c r="E903" s="1">
        <v>4</v>
      </c>
      <c r="F903" s="1">
        <v>3500</v>
      </c>
      <c r="G903" s="1">
        <v>14000</v>
      </c>
      <c r="H903" s="1">
        <v>2937</v>
      </c>
      <c r="I903" s="1" t="s">
        <v>15</v>
      </c>
      <c r="J903" s="1">
        <v>2</v>
      </c>
      <c r="K903" s="1" t="s">
        <v>15</v>
      </c>
      <c r="L903" s="1">
        <v>9</v>
      </c>
      <c r="M903" s="1" t="s">
        <v>20</v>
      </c>
      <c r="N903" s="5">
        <f>IF(Tabulka1[[#This Row],[E-shop]]="ano",1,0)</f>
        <v>0</v>
      </c>
      <c r="O903" s="5">
        <f>IF(Tabulka1[[#This Row],[Reklamace]]="ano",1,0)</f>
        <v>0</v>
      </c>
    </row>
    <row r="904" spans="1:15" ht="15.75" customHeight="1" x14ac:dyDescent="0.3">
      <c r="A904" s="1">
        <v>684</v>
      </c>
      <c r="B904" s="2">
        <v>45364</v>
      </c>
      <c r="C904" s="1" t="s">
        <v>31</v>
      </c>
      <c r="D904" s="1" t="s">
        <v>37</v>
      </c>
      <c r="E904" s="1">
        <v>2</v>
      </c>
      <c r="F904" s="1">
        <v>7000</v>
      </c>
      <c r="G904" s="1">
        <v>14000</v>
      </c>
      <c r="H904" s="1">
        <v>2519</v>
      </c>
      <c r="I904" s="1" t="s">
        <v>16</v>
      </c>
      <c r="J904" s="1">
        <v>1</v>
      </c>
      <c r="K904" s="1" t="s">
        <v>15</v>
      </c>
      <c r="L904" s="1">
        <v>10</v>
      </c>
      <c r="M904" s="1" t="s">
        <v>20</v>
      </c>
      <c r="N904" s="5">
        <f>IF(Tabulka1[[#This Row],[E-shop]]="ano",1,0)</f>
        <v>1</v>
      </c>
      <c r="O904" s="5">
        <f>IF(Tabulka1[[#This Row],[Reklamace]]="ano",1,0)</f>
        <v>0</v>
      </c>
    </row>
    <row r="905" spans="1:15" ht="15.75" customHeight="1" x14ac:dyDescent="0.3">
      <c r="A905" s="1">
        <v>690</v>
      </c>
      <c r="B905" s="2">
        <v>45551</v>
      </c>
      <c r="C905" s="1" t="s">
        <v>13</v>
      </c>
      <c r="D905" s="1" t="s">
        <v>34</v>
      </c>
      <c r="E905" s="1">
        <v>4</v>
      </c>
      <c r="F905" s="1">
        <v>3500</v>
      </c>
      <c r="G905" s="1">
        <v>14000</v>
      </c>
      <c r="H905" s="1">
        <v>3409</v>
      </c>
      <c r="I905" s="1" t="s">
        <v>15</v>
      </c>
      <c r="J905" s="1">
        <v>6</v>
      </c>
      <c r="K905" s="1" t="s">
        <v>15</v>
      </c>
      <c r="L905" s="1">
        <v>5</v>
      </c>
      <c r="M905" s="1" t="s">
        <v>20</v>
      </c>
      <c r="N905" s="5">
        <f>IF(Tabulka1[[#This Row],[E-shop]]="ano",1,0)</f>
        <v>0</v>
      </c>
      <c r="O905" s="5">
        <f>IF(Tabulka1[[#This Row],[Reklamace]]="ano",1,0)</f>
        <v>0</v>
      </c>
    </row>
    <row r="906" spans="1:15" ht="15.75" customHeight="1" x14ac:dyDescent="0.3">
      <c r="A906" s="1">
        <v>703</v>
      </c>
      <c r="B906" s="2">
        <v>45470</v>
      </c>
      <c r="C906" s="1" t="s">
        <v>23</v>
      </c>
      <c r="D906" s="1" t="s">
        <v>34</v>
      </c>
      <c r="E906" s="1">
        <v>4</v>
      </c>
      <c r="F906" s="1">
        <v>3500</v>
      </c>
      <c r="G906" s="1">
        <v>14000</v>
      </c>
      <c r="H906" s="1">
        <v>2273</v>
      </c>
      <c r="I906" s="1" t="s">
        <v>15</v>
      </c>
      <c r="J906" s="1">
        <v>3</v>
      </c>
      <c r="K906" s="1" t="s">
        <v>15</v>
      </c>
      <c r="L906" s="1">
        <v>5</v>
      </c>
      <c r="M906" s="1" t="s">
        <v>20</v>
      </c>
      <c r="N906" s="5">
        <f>IF(Tabulka1[[#This Row],[E-shop]]="ano",1,0)</f>
        <v>0</v>
      </c>
      <c r="O906" s="5">
        <f>IF(Tabulka1[[#This Row],[Reklamace]]="ano",1,0)</f>
        <v>0</v>
      </c>
    </row>
    <row r="907" spans="1:15" ht="15.75" customHeight="1" x14ac:dyDescent="0.3">
      <c r="A907" s="1">
        <v>665</v>
      </c>
      <c r="B907" s="2">
        <v>45813</v>
      </c>
      <c r="C907" s="1" t="s">
        <v>13</v>
      </c>
      <c r="D907" s="1" t="s">
        <v>39</v>
      </c>
      <c r="E907" s="1">
        <v>5</v>
      </c>
      <c r="F907" s="1">
        <v>2500</v>
      </c>
      <c r="G907" s="1">
        <v>12500</v>
      </c>
      <c r="H907" s="1">
        <v>1988</v>
      </c>
      <c r="I907" s="1" t="s">
        <v>16</v>
      </c>
      <c r="J907" s="1">
        <v>8</v>
      </c>
      <c r="K907" s="1" t="s">
        <v>16</v>
      </c>
      <c r="L907" s="1">
        <v>1</v>
      </c>
      <c r="M907" s="1" t="s">
        <v>20</v>
      </c>
      <c r="N907" s="5">
        <f>IF(Tabulka1[[#This Row],[E-shop]]="ano",1,0)</f>
        <v>1</v>
      </c>
      <c r="O907" s="5">
        <f>IF(Tabulka1[[#This Row],[Reklamace]]="ano",1,0)</f>
        <v>1</v>
      </c>
    </row>
    <row r="908" spans="1:15" ht="15.75" customHeight="1" x14ac:dyDescent="0.3">
      <c r="A908" s="1">
        <v>814</v>
      </c>
      <c r="B908" s="2">
        <v>45539</v>
      </c>
      <c r="C908" s="1" t="s">
        <v>18</v>
      </c>
      <c r="D908" s="1" t="s">
        <v>39</v>
      </c>
      <c r="E908" s="1">
        <v>5</v>
      </c>
      <c r="F908" s="1">
        <v>2500</v>
      </c>
      <c r="G908" s="1">
        <v>12500</v>
      </c>
      <c r="H908" s="1">
        <v>1915</v>
      </c>
      <c r="I908" s="1" t="s">
        <v>15</v>
      </c>
      <c r="J908" s="1">
        <v>6</v>
      </c>
      <c r="K908" s="1" t="s">
        <v>16</v>
      </c>
      <c r="L908" s="1">
        <v>3</v>
      </c>
      <c r="M908" s="1" t="s">
        <v>20</v>
      </c>
      <c r="N908" s="5">
        <f>IF(Tabulka1[[#This Row],[E-shop]]="ano",1,0)</f>
        <v>0</v>
      </c>
      <c r="O908" s="5">
        <f>IF(Tabulka1[[#This Row],[Reklamace]]="ano",1,0)</f>
        <v>1</v>
      </c>
    </row>
    <row r="909" spans="1:15" ht="15.75" customHeight="1" x14ac:dyDescent="0.3">
      <c r="A909" s="1">
        <v>14</v>
      </c>
      <c r="B909" s="2">
        <v>45910</v>
      </c>
      <c r="C909" s="1" t="s">
        <v>31</v>
      </c>
      <c r="D909" s="1" t="s">
        <v>33</v>
      </c>
      <c r="E909" s="1">
        <v>2</v>
      </c>
      <c r="F909" s="1">
        <v>6000</v>
      </c>
      <c r="G909" s="1">
        <v>12000</v>
      </c>
      <c r="H909" s="1">
        <v>3404</v>
      </c>
      <c r="I909" s="1" t="s">
        <v>16</v>
      </c>
      <c r="J909" s="1">
        <v>6</v>
      </c>
      <c r="K909" s="1" t="s">
        <v>15</v>
      </c>
      <c r="L909" s="1">
        <v>3</v>
      </c>
      <c r="M909" s="1" t="s">
        <v>20</v>
      </c>
      <c r="N909" s="5">
        <f>IF(Tabulka1[[#This Row],[E-shop]]="ano",1,0)</f>
        <v>1</v>
      </c>
      <c r="O909" s="5">
        <f>IF(Tabulka1[[#This Row],[Reklamace]]="ano",1,0)</f>
        <v>0</v>
      </c>
    </row>
    <row r="910" spans="1:15" ht="15.75" customHeight="1" x14ac:dyDescent="0.3">
      <c r="A910" s="1">
        <v>64</v>
      </c>
      <c r="B910" s="2">
        <v>46016</v>
      </c>
      <c r="C910" s="1" t="s">
        <v>23</v>
      </c>
      <c r="D910" s="1" t="s">
        <v>14</v>
      </c>
      <c r="E910" s="1">
        <v>1</v>
      </c>
      <c r="F910" s="1">
        <v>12000</v>
      </c>
      <c r="G910" s="1">
        <v>12000</v>
      </c>
      <c r="H910" s="1">
        <v>2382</v>
      </c>
      <c r="I910" s="1" t="s">
        <v>15</v>
      </c>
      <c r="J910" s="1">
        <v>4</v>
      </c>
      <c r="K910" s="1" t="s">
        <v>15</v>
      </c>
      <c r="L910" s="1">
        <v>7</v>
      </c>
      <c r="M910" s="1" t="s">
        <v>20</v>
      </c>
      <c r="N910" s="5">
        <f>IF(Tabulka1[[#This Row],[E-shop]]="ano",1,0)</f>
        <v>0</v>
      </c>
      <c r="O910" s="5">
        <f>IF(Tabulka1[[#This Row],[Reklamace]]="ano",1,0)</f>
        <v>0</v>
      </c>
    </row>
    <row r="911" spans="1:15" ht="15.75" customHeight="1" x14ac:dyDescent="0.3">
      <c r="A911" s="1">
        <v>97</v>
      </c>
      <c r="B911" s="2">
        <v>45826</v>
      </c>
      <c r="C911" s="1" t="s">
        <v>36</v>
      </c>
      <c r="D911" s="1" t="s">
        <v>46</v>
      </c>
      <c r="E911" s="1">
        <v>4</v>
      </c>
      <c r="F911" s="1">
        <v>3000</v>
      </c>
      <c r="G911" s="1">
        <v>12000</v>
      </c>
      <c r="H911" s="1">
        <v>3148</v>
      </c>
      <c r="I911" s="1" t="s">
        <v>15</v>
      </c>
      <c r="J911" s="1">
        <v>3</v>
      </c>
      <c r="K911" s="1" t="s">
        <v>15</v>
      </c>
      <c r="L911" s="1">
        <v>7</v>
      </c>
      <c r="M911" s="1" t="s">
        <v>20</v>
      </c>
      <c r="N911" s="5">
        <f>IF(Tabulka1[[#This Row],[E-shop]]="ano",1,0)</f>
        <v>0</v>
      </c>
      <c r="O911" s="5">
        <f>IF(Tabulka1[[#This Row],[Reklamace]]="ano",1,0)</f>
        <v>0</v>
      </c>
    </row>
    <row r="912" spans="1:15" ht="15.75" customHeight="1" x14ac:dyDescent="0.3">
      <c r="A912" s="1">
        <v>161</v>
      </c>
      <c r="B912" s="2">
        <v>45759</v>
      </c>
      <c r="C912" s="1" t="s">
        <v>31</v>
      </c>
      <c r="D912" s="1" t="s">
        <v>33</v>
      </c>
      <c r="E912" s="1">
        <v>2</v>
      </c>
      <c r="F912" s="1">
        <v>6000</v>
      </c>
      <c r="G912" s="1">
        <v>12000</v>
      </c>
      <c r="H912" s="1">
        <v>2834</v>
      </c>
      <c r="I912" s="1" t="s">
        <v>15</v>
      </c>
      <c r="J912" s="1">
        <v>2</v>
      </c>
      <c r="K912" s="1" t="s">
        <v>15</v>
      </c>
      <c r="L912" s="1">
        <v>8</v>
      </c>
      <c r="M912" s="1" t="s">
        <v>17</v>
      </c>
      <c r="N912" s="5">
        <f>IF(Tabulka1[[#This Row],[E-shop]]="ano",1,0)</f>
        <v>0</v>
      </c>
      <c r="O912" s="5">
        <f>IF(Tabulka1[[#This Row],[Reklamace]]="ano",1,0)</f>
        <v>0</v>
      </c>
    </row>
    <row r="913" spans="1:15" ht="15.75" customHeight="1" x14ac:dyDescent="0.3">
      <c r="A913" s="1">
        <v>192</v>
      </c>
      <c r="B913" s="2">
        <v>45507</v>
      </c>
      <c r="C913" s="1" t="s">
        <v>36</v>
      </c>
      <c r="D913" s="1" t="s">
        <v>14</v>
      </c>
      <c r="E913" s="1">
        <v>1</v>
      </c>
      <c r="F913" s="1">
        <v>12000</v>
      </c>
      <c r="G913" s="1">
        <v>12000</v>
      </c>
      <c r="H913" s="1">
        <v>3326</v>
      </c>
      <c r="I913" s="1" t="s">
        <v>15</v>
      </c>
      <c r="J913" s="1">
        <v>7</v>
      </c>
      <c r="K913" s="1" t="s">
        <v>16</v>
      </c>
      <c r="L913" s="1">
        <v>2</v>
      </c>
      <c r="M913" s="1" t="s">
        <v>20</v>
      </c>
      <c r="N913" s="5">
        <f>IF(Tabulka1[[#This Row],[E-shop]]="ano",1,0)</f>
        <v>0</v>
      </c>
      <c r="O913" s="5">
        <f>IF(Tabulka1[[#This Row],[Reklamace]]="ano",1,0)</f>
        <v>1</v>
      </c>
    </row>
    <row r="914" spans="1:15" ht="15.75" customHeight="1" x14ac:dyDescent="0.3">
      <c r="A914" s="1">
        <v>270</v>
      </c>
      <c r="B914" s="2">
        <v>45806</v>
      </c>
      <c r="C914" s="1" t="s">
        <v>21</v>
      </c>
      <c r="D914" s="1" t="s">
        <v>26</v>
      </c>
      <c r="E914" s="1">
        <v>1</v>
      </c>
      <c r="F914" s="1">
        <v>12000</v>
      </c>
      <c r="G914" s="1">
        <v>12000</v>
      </c>
      <c r="H914" s="1">
        <v>2263</v>
      </c>
      <c r="I914" s="1" t="s">
        <v>16</v>
      </c>
      <c r="J914" s="1">
        <v>2</v>
      </c>
      <c r="K914" s="1" t="s">
        <v>15</v>
      </c>
      <c r="L914" s="1">
        <v>7</v>
      </c>
      <c r="M914" s="1" t="s">
        <v>20</v>
      </c>
      <c r="N914" s="5">
        <f>IF(Tabulka1[[#This Row],[E-shop]]="ano",1,0)</f>
        <v>1</v>
      </c>
      <c r="O914" s="5">
        <f>IF(Tabulka1[[#This Row],[Reklamace]]="ano",1,0)</f>
        <v>0</v>
      </c>
    </row>
    <row r="915" spans="1:15" ht="15.75" customHeight="1" x14ac:dyDescent="0.3">
      <c r="A915" s="1">
        <v>395</v>
      </c>
      <c r="B915" s="2">
        <v>45745</v>
      </c>
      <c r="C915" s="1" t="s">
        <v>13</v>
      </c>
      <c r="D915" s="1" t="s">
        <v>33</v>
      </c>
      <c r="E915" s="1">
        <v>2</v>
      </c>
      <c r="F915" s="1">
        <v>6000</v>
      </c>
      <c r="G915" s="1">
        <v>12000</v>
      </c>
      <c r="H915" s="1">
        <v>3357</v>
      </c>
      <c r="I915" s="1" t="s">
        <v>15</v>
      </c>
      <c r="J915" s="1">
        <v>7</v>
      </c>
      <c r="K915" s="1" t="s">
        <v>16</v>
      </c>
      <c r="L915" s="1">
        <v>2</v>
      </c>
      <c r="M915" s="1" t="s">
        <v>20</v>
      </c>
      <c r="N915" s="5">
        <f>IF(Tabulka1[[#This Row],[E-shop]]="ano",1,0)</f>
        <v>0</v>
      </c>
      <c r="O915" s="5">
        <f>IF(Tabulka1[[#This Row],[Reklamace]]="ano",1,0)</f>
        <v>1</v>
      </c>
    </row>
    <row r="916" spans="1:15" ht="15.75" customHeight="1" x14ac:dyDescent="0.3">
      <c r="A916" s="1">
        <v>432</v>
      </c>
      <c r="B916" s="2">
        <v>45407</v>
      </c>
      <c r="C916" s="1" t="s">
        <v>18</v>
      </c>
      <c r="D916" s="1" t="s">
        <v>27</v>
      </c>
      <c r="E916" s="1">
        <v>3</v>
      </c>
      <c r="F916" s="1">
        <v>4000</v>
      </c>
      <c r="G916" s="1">
        <v>12000</v>
      </c>
      <c r="H916" s="1">
        <v>3012</v>
      </c>
      <c r="I916" s="1" t="s">
        <v>15</v>
      </c>
      <c r="J916" s="1">
        <v>7</v>
      </c>
      <c r="K916" s="1" t="s">
        <v>16</v>
      </c>
      <c r="L916" s="1">
        <v>3</v>
      </c>
      <c r="M916" s="1" t="s">
        <v>17</v>
      </c>
      <c r="N916" s="5">
        <f>IF(Tabulka1[[#This Row],[E-shop]]="ano",1,0)</f>
        <v>0</v>
      </c>
      <c r="O916" s="5">
        <f>IF(Tabulka1[[#This Row],[Reklamace]]="ano",1,0)</f>
        <v>1</v>
      </c>
    </row>
    <row r="917" spans="1:15" ht="15.75" customHeight="1" x14ac:dyDescent="0.3">
      <c r="A917" s="1">
        <v>506</v>
      </c>
      <c r="B917" s="2">
        <v>45305</v>
      </c>
      <c r="C917" s="1" t="s">
        <v>31</v>
      </c>
      <c r="D917" s="1" t="s">
        <v>46</v>
      </c>
      <c r="E917" s="1">
        <v>4</v>
      </c>
      <c r="F917" s="1">
        <v>3000</v>
      </c>
      <c r="G917" s="1">
        <v>12000</v>
      </c>
      <c r="H917" s="1">
        <v>2525</v>
      </c>
      <c r="I917" s="1" t="s">
        <v>15</v>
      </c>
      <c r="J917" s="1">
        <v>3</v>
      </c>
      <c r="K917" s="1" t="s">
        <v>15</v>
      </c>
      <c r="L917" s="1">
        <v>8</v>
      </c>
      <c r="M917" s="1" t="s">
        <v>20</v>
      </c>
      <c r="N917" s="5">
        <f>IF(Tabulka1[[#This Row],[E-shop]]="ano",1,0)</f>
        <v>0</v>
      </c>
      <c r="O917" s="5">
        <f>IF(Tabulka1[[#This Row],[Reklamace]]="ano",1,0)</f>
        <v>0</v>
      </c>
    </row>
    <row r="918" spans="1:15" ht="15.75" customHeight="1" x14ac:dyDescent="0.3">
      <c r="A918" s="1">
        <v>529</v>
      </c>
      <c r="B918" s="2">
        <v>45925</v>
      </c>
      <c r="C918" s="1" t="s">
        <v>21</v>
      </c>
      <c r="D918" s="1" t="s">
        <v>14</v>
      </c>
      <c r="E918" s="1">
        <v>1</v>
      </c>
      <c r="F918" s="1">
        <v>12000</v>
      </c>
      <c r="G918" s="1">
        <v>12000</v>
      </c>
      <c r="H918" s="1">
        <v>2492</v>
      </c>
      <c r="I918" s="1" t="s">
        <v>16</v>
      </c>
      <c r="J918" s="1">
        <v>4</v>
      </c>
      <c r="K918" s="1" t="s">
        <v>15</v>
      </c>
      <c r="L918" s="1">
        <v>4</v>
      </c>
      <c r="M918" s="1" t="s">
        <v>20</v>
      </c>
      <c r="N918" s="5">
        <f>IF(Tabulka1[[#This Row],[E-shop]]="ano",1,0)</f>
        <v>1</v>
      </c>
      <c r="O918" s="5">
        <f>IF(Tabulka1[[#This Row],[Reklamace]]="ano",1,0)</f>
        <v>0</v>
      </c>
    </row>
    <row r="919" spans="1:15" ht="15.75" customHeight="1" x14ac:dyDescent="0.3">
      <c r="A919" s="1">
        <v>552</v>
      </c>
      <c r="B919" s="2">
        <v>45527</v>
      </c>
      <c r="C919" s="1" t="s">
        <v>13</v>
      </c>
      <c r="D919" s="1" t="s">
        <v>14</v>
      </c>
      <c r="E919" s="1">
        <v>1</v>
      </c>
      <c r="F919" s="1">
        <v>12000</v>
      </c>
      <c r="G919" s="1">
        <v>12000</v>
      </c>
      <c r="H919" s="1">
        <v>2253</v>
      </c>
      <c r="I919" s="1" t="s">
        <v>15</v>
      </c>
      <c r="J919" s="1">
        <v>6</v>
      </c>
      <c r="K919" s="1" t="s">
        <v>15</v>
      </c>
      <c r="L919" s="1">
        <v>5</v>
      </c>
      <c r="M919" s="1" t="s">
        <v>20</v>
      </c>
      <c r="N919" s="5">
        <f>IF(Tabulka1[[#This Row],[E-shop]]="ano",1,0)</f>
        <v>0</v>
      </c>
      <c r="O919" s="5">
        <f>IF(Tabulka1[[#This Row],[Reklamace]]="ano",1,0)</f>
        <v>0</v>
      </c>
    </row>
    <row r="920" spans="1:15" ht="15.75" customHeight="1" x14ac:dyDescent="0.3">
      <c r="A920" s="1">
        <v>608</v>
      </c>
      <c r="B920" s="2">
        <v>45927</v>
      </c>
      <c r="C920" s="1" t="s">
        <v>13</v>
      </c>
      <c r="D920" s="1" t="s">
        <v>14</v>
      </c>
      <c r="E920" s="1">
        <v>1</v>
      </c>
      <c r="F920" s="1">
        <v>12000</v>
      </c>
      <c r="G920" s="1">
        <v>12000</v>
      </c>
      <c r="H920" s="1">
        <v>2551</v>
      </c>
      <c r="I920" s="1" t="s">
        <v>16</v>
      </c>
      <c r="J920" s="1">
        <v>2</v>
      </c>
      <c r="K920" s="1" t="s">
        <v>15</v>
      </c>
      <c r="L920" s="1">
        <v>8</v>
      </c>
      <c r="M920" s="1" t="s">
        <v>20</v>
      </c>
      <c r="N920" s="5">
        <f>IF(Tabulka1[[#This Row],[E-shop]]="ano",1,0)</f>
        <v>1</v>
      </c>
      <c r="O920" s="5">
        <f>IF(Tabulka1[[#This Row],[Reklamace]]="ano",1,0)</f>
        <v>0</v>
      </c>
    </row>
    <row r="921" spans="1:15" ht="15.75" customHeight="1" x14ac:dyDescent="0.3">
      <c r="A921" s="1">
        <v>650</v>
      </c>
      <c r="B921" s="2">
        <v>45945</v>
      </c>
      <c r="C921" s="1" t="s">
        <v>36</v>
      </c>
      <c r="D921" s="1" t="s">
        <v>26</v>
      </c>
      <c r="E921" s="1">
        <v>1</v>
      </c>
      <c r="F921" s="1">
        <v>12000</v>
      </c>
      <c r="G921" s="1">
        <v>12000</v>
      </c>
      <c r="H921" s="1">
        <v>2750</v>
      </c>
      <c r="I921" s="1" t="s">
        <v>15</v>
      </c>
      <c r="J921" s="1">
        <v>3</v>
      </c>
      <c r="K921" s="1" t="s">
        <v>15</v>
      </c>
      <c r="L921" s="1">
        <v>6</v>
      </c>
      <c r="M921" s="1" t="s">
        <v>20</v>
      </c>
      <c r="N921" s="5">
        <f>IF(Tabulka1[[#This Row],[E-shop]]="ano",1,0)</f>
        <v>0</v>
      </c>
      <c r="O921" s="5">
        <f>IF(Tabulka1[[#This Row],[Reklamace]]="ano",1,0)</f>
        <v>0</v>
      </c>
    </row>
    <row r="922" spans="1:15" ht="15.75" customHeight="1" x14ac:dyDescent="0.3">
      <c r="A922" s="1">
        <v>699</v>
      </c>
      <c r="B922" s="2">
        <v>45423</v>
      </c>
      <c r="C922" s="1" t="s">
        <v>25</v>
      </c>
      <c r="D922" s="1" t="s">
        <v>26</v>
      </c>
      <c r="E922" s="1">
        <v>1</v>
      </c>
      <c r="F922" s="1">
        <v>12000</v>
      </c>
      <c r="G922" s="1">
        <v>12000</v>
      </c>
      <c r="H922" s="1">
        <v>1804</v>
      </c>
      <c r="I922" s="1" t="s">
        <v>15</v>
      </c>
      <c r="J922" s="1">
        <v>2</v>
      </c>
      <c r="K922" s="1" t="s">
        <v>15</v>
      </c>
      <c r="L922" s="1">
        <v>9</v>
      </c>
      <c r="M922" s="1" t="s">
        <v>17</v>
      </c>
      <c r="N922" s="5">
        <f>IF(Tabulka1[[#This Row],[E-shop]]="ano",1,0)</f>
        <v>0</v>
      </c>
      <c r="O922" s="5">
        <f>IF(Tabulka1[[#This Row],[Reklamace]]="ano",1,0)</f>
        <v>0</v>
      </c>
    </row>
    <row r="923" spans="1:15" ht="15.75" customHeight="1" x14ac:dyDescent="0.3">
      <c r="A923" s="1">
        <v>791</v>
      </c>
      <c r="B923" s="2">
        <v>45431</v>
      </c>
      <c r="C923" s="1" t="s">
        <v>36</v>
      </c>
      <c r="D923" s="1" t="s">
        <v>35</v>
      </c>
      <c r="E923" s="1">
        <v>1</v>
      </c>
      <c r="F923" s="1">
        <v>12000</v>
      </c>
      <c r="G923" s="1">
        <v>12000</v>
      </c>
      <c r="H923" s="1">
        <v>2083</v>
      </c>
      <c r="I923" s="1" t="s">
        <v>16</v>
      </c>
      <c r="J923" s="1">
        <v>7</v>
      </c>
      <c r="K923" s="1" t="s">
        <v>15</v>
      </c>
      <c r="L923" s="1">
        <v>1</v>
      </c>
      <c r="M923" s="1" t="s">
        <v>20</v>
      </c>
      <c r="N923" s="5">
        <f>IF(Tabulka1[[#This Row],[E-shop]]="ano",1,0)</f>
        <v>1</v>
      </c>
      <c r="O923" s="5">
        <f>IF(Tabulka1[[#This Row],[Reklamace]]="ano",1,0)</f>
        <v>0</v>
      </c>
    </row>
    <row r="924" spans="1:15" ht="15.75" customHeight="1" x14ac:dyDescent="0.3">
      <c r="A924" s="1">
        <v>815</v>
      </c>
      <c r="B924" s="2">
        <v>45739</v>
      </c>
      <c r="C924" s="1" t="s">
        <v>23</v>
      </c>
      <c r="D924" s="1" t="s">
        <v>27</v>
      </c>
      <c r="E924" s="1">
        <v>3</v>
      </c>
      <c r="F924" s="1">
        <v>4000</v>
      </c>
      <c r="G924" s="1">
        <v>12000</v>
      </c>
      <c r="H924" s="1">
        <v>2717</v>
      </c>
      <c r="I924" s="1" t="s">
        <v>15</v>
      </c>
      <c r="J924" s="1">
        <v>1</v>
      </c>
      <c r="K924" s="1" t="s">
        <v>15</v>
      </c>
      <c r="L924" s="1">
        <v>10</v>
      </c>
      <c r="M924" s="1" t="s">
        <v>17</v>
      </c>
      <c r="N924" s="5">
        <f>IF(Tabulka1[[#This Row],[E-shop]]="ano",1,0)</f>
        <v>0</v>
      </c>
      <c r="O924" s="5">
        <f>IF(Tabulka1[[#This Row],[Reklamace]]="ano",1,0)</f>
        <v>0</v>
      </c>
    </row>
    <row r="925" spans="1:15" ht="15.75" customHeight="1" x14ac:dyDescent="0.3">
      <c r="A925" s="1">
        <v>981</v>
      </c>
      <c r="B925" s="2">
        <v>45932</v>
      </c>
      <c r="C925" s="1" t="s">
        <v>36</v>
      </c>
      <c r="D925" s="1" t="s">
        <v>35</v>
      </c>
      <c r="E925" s="1">
        <v>1</v>
      </c>
      <c r="F925" s="1">
        <v>12000</v>
      </c>
      <c r="G925" s="1">
        <v>12000</v>
      </c>
      <c r="H925" s="1">
        <v>2692</v>
      </c>
      <c r="I925" s="1" t="s">
        <v>16</v>
      </c>
      <c r="J925" s="1">
        <v>3</v>
      </c>
      <c r="K925" s="1" t="s">
        <v>15</v>
      </c>
      <c r="L925" s="1">
        <v>7</v>
      </c>
      <c r="M925" s="1" t="s">
        <v>20</v>
      </c>
      <c r="N925" s="5">
        <f>IF(Tabulka1[[#This Row],[E-shop]]="ano",1,0)</f>
        <v>1</v>
      </c>
      <c r="O925" s="5">
        <f>IF(Tabulka1[[#This Row],[Reklamace]]="ano",1,0)</f>
        <v>0</v>
      </c>
    </row>
    <row r="926" spans="1:15" ht="15.75" customHeight="1" x14ac:dyDescent="0.3">
      <c r="A926" s="1">
        <v>20</v>
      </c>
      <c r="B926" s="2">
        <v>45769</v>
      </c>
      <c r="C926" s="1" t="s">
        <v>25</v>
      </c>
      <c r="D926" s="1" t="s">
        <v>34</v>
      </c>
      <c r="E926" s="1">
        <v>3</v>
      </c>
      <c r="F926" s="1">
        <v>3500</v>
      </c>
      <c r="G926" s="1">
        <v>10500</v>
      </c>
      <c r="H926" s="1">
        <v>2299</v>
      </c>
      <c r="I926" s="1" t="s">
        <v>15</v>
      </c>
      <c r="J926" s="1">
        <v>1</v>
      </c>
      <c r="K926" s="1" t="s">
        <v>15</v>
      </c>
      <c r="L926" s="1">
        <v>8</v>
      </c>
      <c r="M926" s="1" t="s">
        <v>20</v>
      </c>
      <c r="N926" s="5">
        <f>IF(Tabulka1[[#This Row],[E-shop]]="ano",1,0)</f>
        <v>0</v>
      </c>
      <c r="O926" s="5">
        <f>IF(Tabulka1[[#This Row],[Reklamace]]="ano",1,0)</f>
        <v>0</v>
      </c>
    </row>
    <row r="927" spans="1:15" ht="15.75" customHeight="1" x14ac:dyDescent="0.3">
      <c r="A927" s="1">
        <v>349</v>
      </c>
      <c r="B927" s="2">
        <v>45871</v>
      </c>
      <c r="C927" s="1" t="s">
        <v>23</v>
      </c>
      <c r="D927" s="1" t="s">
        <v>45</v>
      </c>
      <c r="E927" s="1">
        <v>3</v>
      </c>
      <c r="F927" s="1">
        <v>3500</v>
      </c>
      <c r="G927" s="1">
        <v>10500</v>
      </c>
      <c r="H927" s="1">
        <v>2000</v>
      </c>
      <c r="I927" s="1" t="s">
        <v>15</v>
      </c>
      <c r="J927" s="1">
        <v>4</v>
      </c>
      <c r="K927" s="1" t="s">
        <v>15</v>
      </c>
      <c r="L927" s="1">
        <v>7</v>
      </c>
      <c r="M927" s="1" t="s">
        <v>17</v>
      </c>
      <c r="N927" s="5">
        <f>IF(Tabulka1[[#This Row],[E-shop]]="ano",1,0)</f>
        <v>0</v>
      </c>
      <c r="O927" s="5">
        <f>IF(Tabulka1[[#This Row],[Reklamace]]="ano",1,0)</f>
        <v>0</v>
      </c>
    </row>
    <row r="928" spans="1:15" ht="15.75" customHeight="1" x14ac:dyDescent="0.3">
      <c r="A928" s="1">
        <v>398</v>
      </c>
      <c r="B928" s="2">
        <v>45310</v>
      </c>
      <c r="C928" s="1" t="s">
        <v>21</v>
      </c>
      <c r="D928" s="1" t="s">
        <v>34</v>
      </c>
      <c r="E928" s="1">
        <v>3</v>
      </c>
      <c r="F928" s="1">
        <v>3500</v>
      </c>
      <c r="G928" s="1">
        <v>10500</v>
      </c>
      <c r="H928" s="1">
        <v>1824</v>
      </c>
      <c r="I928" s="1" t="s">
        <v>15</v>
      </c>
      <c r="J928" s="1">
        <v>6</v>
      </c>
      <c r="K928" s="1" t="s">
        <v>15</v>
      </c>
      <c r="L928" s="1">
        <v>3</v>
      </c>
      <c r="M928" s="1" t="s">
        <v>17</v>
      </c>
      <c r="N928" s="5">
        <f>IF(Tabulka1[[#This Row],[E-shop]]="ano",1,0)</f>
        <v>0</v>
      </c>
      <c r="O928" s="5">
        <f>IF(Tabulka1[[#This Row],[Reklamace]]="ano",1,0)</f>
        <v>0</v>
      </c>
    </row>
    <row r="929" spans="1:15" ht="15.75" customHeight="1" x14ac:dyDescent="0.3">
      <c r="A929" s="1">
        <v>408</v>
      </c>
      <c r="B929" s="2">
        <v>45536</v>
      </c>
      <c r="C929" s="1" t="s">
        <v>21</v>
      </c>
      <c r="D929" s="1" t="s">
        <v>45</v>
      </c>
      <c r="E929" s="1">
        <v>3</v>
      </c>
      <c r="F929" s="1">
        <v>3500</v>
      </c>
      <c r="G929" s="1">
        <v>10500</v>
      </c>
      <c r="H929" s="1">
        <v>3042</v>
      </c>
      <c r="I929" s="1" t="s">
        <v>15</v>
      </c>
      <c r="J929" s="1">
        <v>1</v>
      </c>
      <c r="K929" s="1" t="s">
        <v>15</v>
      </c>
      <c r="L929" s="1">
        <v>10</v>
      </c>
      <c r="M929" s="1" t="s">
        <v>20</v>
      </c>
      <c r="N929" s="5">
        <f>IF(Tabulka1[[#This Row],[E-shop]]="ano",1,0)</f>
        <v>0</v>
      </c>
      <c r="O929" s="5">
        <f>IF(Tabulka1[[#This Row],[Reklamace]]="ano",1,0)</f>
        <v>0</v>
      </c>
    </row>
    <row r="930" spans="1:15" ht="15.75" customHeight="1" x14ac:dyDescent="0.3">
      <c r="A930" s="1">
        <v>822</v>
      </c>
      <c r="B930" s="2">
        <v>46012</v>
      </c>
      <c r="C930" s="1" t="s">
        <v>25</v>
      </c>
      <c r="D930" s="1" t="s">
        <v>45</v>
      </c>
      <c r="E930" s="1">
        <v>3</v>
      </c>
      <c r="F930" s="1">
        <v>3500</v>
      </c>
      <c r="G930" s="1">
        <v>10500</v>
      </c>
      <c r="H930" s="1">
        <v>2290</v>
      </c>
      <c r="I930" s="1" t="s">
        <v>15</v>
      </c>
      <c r="J930" s="1">
        <v>6</v>
      </c>
      <c r="K930" s="1" t="s">
        <v>15</v>
      </c>
      <c r="L930" s="1">
        <v>5</v>
      </c>
      <c r="M930" s="1" t="s">
        <v>17</v>
      </c>
      <c r="N930" s="5">
        <f>IF(Tabulka1[[#This Row],[E-shop]]="ano",1,0)</f>
        <v>0</v>
      </c>
      <c r="O930" s="5">
        <f>IF(Tabulka1[[#This Row],[Reklamace]]="ano",1,0)</f>
        <v>0</v>
      </c>
    </row>
    <row r="931" spans="1:15" ht="15.75" customHeight="1" x14ac:dyDescent="0.3">
      <c r="A931" s="1">
        <v>38</v>
      </c>
      <c r="B931" s="2">
        <v>45994</v>
      </c>
      <c r="C931" s="1" t="s">
        <v>36</v>
      </c>
      <c r="D931" s="1" t="s">
        <v>39</v>
      </c>
      <c r="E931" s="1">
        <v>4</v>
      </c>
      <c r="F931" s="1">
        <v>2500</v>
      </c>
      <c r="G931" s="1">
        <v>10000</v>
      </c>
      <c r="H931" s="1">
        <v>2745</v>
      </c>
      <c r="I931" s="1" t="s">
        <v>15</v>
      </c>
      <c r="J931" s="1">
        <v>1</v>
      </c>
      <c r="K931" s="1" t="s">
        <v>15</v>
      </c>
      <c r="L931" s="1">
        <v>7</v>
      </c>
      <c r="M931" s="1" t="s">
        <v>20</v>
      </c>
      <c r="N931" s="5">
        <f>IF(Tabulka1[[#This Row],[E-shop]]="ano",1,0)</f>
        <v>0</v>
      </c>
      <c r="O931" s="5">
        <f>IF(Tabulka1[[#This Row],[Reklamace]]="ano",1,0)</f>
        <v>0</v>
      </c>
    </row>
    <row r="932" spans="1:15" ht="15.75" customHeight="1" x14ac:dyDescent="0.3">
      <c r="A932" s="1">
        <v>81</v>
      </c>
      <c r="B932" s="2">
        <v>45374</v>
      </c>
      <c r="C932" s="1" t="s">
        <v>25</v>
      </c>
      <c r="D932" s="1" t="s">
        <v>44</v>
      </c>
      <c r="E932" s="1">
        <v>1</v>
      </c>
      <c r="F932" s="1">
        <v>10000</v>
      </c>
      <c r="G932" s="1">
        <v>10000</v>
      </c>
      <c r="H932" s="1">
        <v>2828</v>
      </c>
      <c r="I932" s="1" t="s">
        <v>15</v>
      </c>
      <c r="J932" s="1">
        <v>1</v>
      </c>
      <c r="K932" s="1" t="s">
        <v>15</v>
      </c>
      <c r="L932" s="1">
        <v>8</v>
      </c>
      <c r="M932" s="1" t="s">
        <v>17</v>
      </c>
      <c r="N932" s="5">
        <f>IF(Tabulka1[[#This Row],[E-shop]]="ano",1,0)</f>
        <v>0</v>
      </c>
      <c r="O932" s="5">
        <f>IF(Tabulka1[[#This Row],[Reklamace]]="ano",1,0)</f>
        <v>0</v>
      </c>
    </row>
    <row r="933" spans="1:15" ht="15.75" customHeight="1" x14ac:dyDescent="0.3">
      <c r="A933" s="1">
        <v>83</v>
      </c>
      <c r="B933" s="2">
        <v>46020</v>
      </c>
      <c r="C933" s="1" t="s">
        <v>21</v>
      </c>
      <c r="D933" s="1" t="s">
        <v>44</v>
      </c>
      <c r="E933" s="1">
        <v>1</v>
      </c>
      <c r="F933" s="1">
        <v>10000</v>
      </c>
      <c r="G933" s="1">
        <v>10000</v>
      </c>
      <c r="H933" s="1">
        <v>2108</v>
      </c>
      <c r="I933" s="1" t="s">
        <v>15</v>
      </c>
      <c r="J933" s="1">
        <v>6</v>
      </c>
      <c r="K933" s="1" t="s">
        <v>16</v>
      </c>
      <c r="L933" s="1">
        <v>2</v>
      </c>
      <c r="M933" s="1" t="s">
        <v>20</v>
      </c>
      <c r="N933" s="5">
        <f>IF(Tabulka1[[#This Row],[E-shop]]="ano",1,0)</f>
        <v>0</v>
      </c>
      <c r="O933" s="5">
        <f>IF(Tabulka1[[#This Row],[Reklamace]]="ano",1,0)</f>
        <v>1</v>
      </c>
    </row>
    <row r="934" spans="1:15" ht="15.75" customHeight="1" x14ac:dyDescent="0.3">
      <c r="A934" s="1">
        <v>88</v>
      </c>
      <c r="B934" s="2">
        <v>45397</v>
      </c>
      <c r="C934" s="1" t="s">
        <v>21</v>
      </c>
      <c r="D934" s="1" t="s">
        <v>32</v>
      </c>
      <c r="E934" s="1">
        <v>1</v>
      </c>
      <c r="F934" s="1">
        <v>10000</v>
      </c>
      <c r="G934" s="1">
        <v>10000</v>
      </c>
      <c r="H934" s="1">
        <v>2207</v>
      </c>
      <c r="I934" s="1" t="s">
        <v>15</v>
      </c>
      <c r="J934" s="1">
        <v>1</v>
      </c>
      <c r="K934" s="1" t="s">
        <v>15</v>
      </c>
      <c r="L934" s="1">
        <v>10</v>
      </c>
      <c r="M934" s="1" t="s">
        <v>17</v>
      </c>
      <c r="N934" s="5">
        <f>IF(Tabulka1[[#This Row],[E-shop]]="ano",1,0)</f>
        <v>0</v>
      </c>
      <c r="O934" s="5">
        <f>IF(Tabulka1[[#This Row],[Reklamace]]="ano",1,0)</f>
        <v>0</v>
      </c>
    </row>
    <row r="935" spans="1:15" ht="15.75" customHeight="1" x14ac:dyDescent="0.3">
      <c r="A935" s="1">
        <v>150</v>
      </c>
      <c r="B935" s="2">
        <v>45533</v>
      </c>
      <c r="C935" s="1" t="s">
        <v>31</v>
      </c>
      <c r="D935" s="1" t="s">
        <v>41</v>
      </c>
      <c r="E935" s="1">
        <v>2</v>
      </c>
      <c r="F935" s="1">
        <v>5000</v>
      </c>
      <c r="G935" s="1">
        <v>10000</v>
      </c>
      <c r="H935" s="1">
        <v>2604</v>
      </c>
      <c r="I935" s="1" t="s">
        <v>15</v>
      </c>
      <c r="J935" s="1">
        <v>3</v>
      </c>
      <c r="K935" s="1" t="s">
        <v>16</v>
      </c>
      <c r="L935" s="1">
        <v>5</v>
      </c>
      <c r="M935" s="1" t="s">
        <v>20</v>
      </c>
      <c r="N935" s="5">
        <f>IF(Tabulka1[[#This Row],[E-shop]]="ano",1,0)</f>
        <v>0</v>
      </c>
      <c r="O935" s="5">
        <f>IF(Tabulka1[[#This Row],[Reklamace]]="ano",1,0)</f>
        <v>1</v>
      </c>
    </row>
    <row r="936" spans="1:15" ht="15.75" customHeight="1" x14ac:dyDescent="0.3">
      <c r="A936" s="1">
        <v>249</v>
      </c>
      <c r="B936" s="2">
        <v>45793</v>
      </c>
      <c r="C936" s="1" t="s">
        <v>25</v>
      </c>
      <c r="D936" s="1" t="s">
        <v>41</v>
      </c>
      <c r="E936" s="1">
        <v>2</v>
      </c>
      <c r="F936" s="1">
        <v>5000</v>
      </c>
      <c r="G936" s="1">
        <v>10000</v>
      </c>
      <c r="H936" s="1">
        <v>2546</v>
      </c>
      <c r="I936" s="1" t="s">
        <v>15</v>
      </c>
      <c r="J936" s="1">
        <v>7</v>
      </c>
      <c r="K936" s="1" t="s">
        <v>16</v>
      </c>
      <c r="L936" s="1">
        <v>4</v>
      </c>
      <c r="M936" s="1" t="s">
        <v>20</v>
      </c>
      <c r="N936" s="5">
        <f>IF(Tabulka1[[#This Row],[E-shop]]="ano",1,0)</f>
        <v>0</v>
      </c>
      <c r="O936" s="5">
        <f>IF(Tabulka1[[#This Row],[Reklamace]]="ano",1,0)</f>
        <v>1</v>
      </c>
    </row>
    <row r="937" spans="1:15" ht="15.75" customHeight="1" x14ac:dyDescent="0.3">
      <c r="A937" s="1">
        <v>303</v>
      </c>
      <c r="B937" s="2">
        <v>45664</v>
      </c>
      <c r="C937" s="1" t="s">
        <v>23</v>
      </c>
      <c r="D937" s="1" t="s">
        <v>41</v>
      </c>
      <c r="E937" s="1">
        <v>2</v>
      </c>
      <c r="F937" s="1">
        <v>5000</v>
      </c>
      <c r="G937" s="1">
        <v>10000</v>
      </c>
      <c r="H937" s="1">
        <v>2364</v>
      </c>
      <c r="I937" s="1" t="s">
        <v>15</v>
      </c>
      <c r="J937" s="1">
        <v>5</v>
      </c>
      <c r="K937" s="1" t="s">
        <v>15</v>
      </c>
      <c r="L937" s="1">
        <v>6</v>
      </c>
      <c r="M937" s="1" t="s">
        <v>20</v>
      </c>
      <c r="N937" s="5">
        <f>IF(Tabulka1[[#This Row],[E-shop]]="ano",1,0)</f>
        <v>0</v>
      </c>
      <c r="O937" s="5">
        <f>IF(Tabulka1[[#This Row],[Reklamace]]="ano",1,0)</f>
        <v>0</v>
      </c>
    </row>
    <row r="938" spans="1:15" ht="15.75" customHeight="1" x14ac:dyDescent="0.3">
      <c r="A938" s="1">
        <v>371</v>
      </c>
      <c r="B938" s="2">
        <v>45913</v>
      </c>
      <c r="C938" s="1" t="s">
        <v>31</v>
      </c>
      <c r="D938" s="1" t="s">
        <v>44</v>
      </c>
      <c r="E938" s="1">
        <v>1</v>
      </c>
      <c r="F938" s="1">
        <v>10000</v>
      </c>
      <c r="G938" s="1">
        <v>10000</v>
      </c>
      <c r="H938" s="1">
        <v>1958</v>
      </c>
      <c r="I938" s="1" t="s">
        <v>15</v>
      </c>
      <c r="J938" s="1">
        <v>7</v>
      </c>
      <c r="K938" s="1" t="s">
        <v>16</v>
      </c>
      <c r="L938" s="1">
        <v>2</v>
      </c>
      <c r="M938" s="1" t="s">
        <v>17</v>
      </c>
      <c r="N938" s="5">
        <f>IF(Tabulka1[[#This Row],[E-shop]]="ano",1,0)</f>
        <v>0</v>
      </c>
      <c r="O938" s="5">
        <f>IF(Tabulka1[[#This Row],[Reklamace]]="ano",1,0)</f>
        <v>1</v>
      </c>
    </row>
    <row r="939" spans="1:15" ht="15.75" customHeight="1" x14ac:dyDescent="0.3">
      <c r="A939" s="1">
        <v>553</v>
      </c>
      <c r="B939" s="2">
        <v>45818</v>
      </c>
      <c r="C939" s="1" t="s">
        <v>31</v>
      </c>
      <c r="D939" s="1" t="s">
        <v>39</v>
      </c>
      <c r="E939" s="1">
        <v>4</v>
      </c>
      <c r="F939" s="1">
        <v>2500</v>
      </c>
      <c r="G939" s="1">
        <v>10000</v>
      </c>
      <c r="H939" s="1">
        <v>1734</v>
      </c>
      <c r="I939" s="1" t="s">
        <v>15</v>
      </c>
      <c r="J939" s="1">
        <v>7</v>
      </c>
      <c r="K939" s="1" t="s">
        <v>16</v>
      </c>
      <c r="L939" s="1">
        <v>2</v>
      </c>
      <c r="M939" s="1" t="s">
        <v>20</v>
      </c>
      <c r="N939" s="5">
        <f>IF(Tabulka1[[#This Row],[E-shop]]="ano",1,0)</f>
        <v>0</v>
      </c>
      <c r="O939" s="5">
        <f>IF(Tabulka1[[#This Row],[Reklamace]]="ano",1,0)</f>
        <v>1</v>
      </c>
    </row>
    <row r="940" spans="1:15" ht="15.75" customHeight="1" x14ac:dyDescent="0.3">
      <c r="A940" s="1">
        <v>751</v>
      </c>
      <c r="B940" s="2">
        <v>45934</v>
      </c>
      <c r="C940" s="1" t="s">
        <v>23</v>
      </c>
      <c r="D940" s="1" t="s">
        <v>41</v>
      </c>
      <c r="E940" s="1">
        <v>2</v>
      </c>
      <c r="F940" s="1">
        <v>5000</v>
      </c>
      <c r="G940" s="1">
        <v>10000</v>
      </c>
      <c r="H940" s="1">
        <v>1820</v>
      </c>
      <c r="I940" s="1" t="s">
        <v>15</v>
      </c>
      <c r="J940" s="1">
        <v>2</v>
      </c>
      <c r="K940" s="1" t="s">
        <v>15</v>
      </c>
      <c r="L940" s="1">
        <v>6</v>
      </c>
      <c r="M940" s="1" t="s">
        <v>17</v>
      </c>
      <c r="N940" s="5">
        <f>IF(Tabulka1[[#This Row],[E-shop]]="ano",1,0)</f>
        <v>0</v>
      </c>
      <c r="O940" s="5">
        <f>IF(Tabulka1[[#This Row],[Reklamace]]="ano",1,0)</f>
        <v>0</v>
      </c>
    </row>
    <row r="941" spans="1:15" ht="15.75" customHeight="1" x14ac:dyDescent="0.3">
      <c r="A941" s="1">
        <v>980</v>
      </c>
      <c r="B941" s="2">
        <v>45748</v>
      </c>
      <c r="C941" s="1" t="s">
        <v>13</v>
      </c>
      <c r="D941" s="1" t="s">
        <v>41</v>
      </c>
      <c r="E941" s="1">
        <v>2</v>
      </c>
      <c r="F941" s="1">
        <v>5000</v>
      </c>
      <c r="G941" s="1">
        <v>10000</v>
      </c>
      <c r="H941" s="1">
        <v>2533</v>
      </c>
      <c r="I941" s="1" t="s">
        <v>15</v>
      </c>
      <c r="J941" s="1">
        <v>7</v>
      </c>
      <c r="K941" s="1" t="s">
        <v>15</v>
      </c>
      <c r="L941" s="1">
        <v>4</v>
      </c>
      <c r="M941" s="1" t="s">
        <v>20</v>
      </c>
      <c r="N941" s="5">
        <f>IF(Tabulka1[[#This Row],[E-shop]]="ano",1,0)</f>
        <v>0</v>
      </c>
      <c r="O941" s="5">
        <f>IF(Tabulka1[[#This Row],[Reklamace]]="ano",1,0)</f>
        <v>0</v>
      </c>
    </row>
    <row r="942" spans="1:15" ht="15.75" customHeight="1" x14ac:dyDescent="0.3">
      <c r="A942" s="1">
        <v>69</v>
      </c>
      <c r="B942" s="2">
        <v>45454</v>
      </c>
      <c r="C942" s="1" t="s">
        <v>23</v>
      </c>
      <c r="D942" s="1" t="s">
        <v>19</v>
      </c>
      <c r="E942" s="1">
        <v>1</v>
      </c>
      <c r="F942" s="1">
        <v>9000</v>
      </c>
      <c r="G942" s="1">
        <v>9000</v>
      </c>
      <c r="H942" s="1">
        <v>1444</v>
      </c>
      <c r="I942" s="1" t="s">
        <v>15</v>
      </c>
      <c r="J942" s="1">
        <v>6</v>
      </c>
      <c r="K942" s="1" t="s">
        <v>16</v>
      </c>
      <c r="L942" s="1">
        <v>2</v>
      </c>
      <c r="M942" s="1" t="s">
        <v>20</v>
      </c>
      <c r="N942" s="5">
        <f>IF(Tabulka1[[#This Row],[E-shop]]="ano",1,0)</f>
        <v>0</v>
      </c>
      <c r="O942" s="5">
        <f>IF(Tabulka1[[#This Row],[Reklamace]]="ano",1,0)</f>
        <v>1</v>
      </c>
    </row>
    <row r="943" spans="1:15" ht="15.75" customHeight="1" x14ac:dyDescent="0.3">
      <c r="A943" s="1">
        <v>480</v>
      </c>
      <c r="B943" s="2">
        <v>45702</v>
      </c>
      <c r="C943" s="1" t="s">
        <v>13</v>
      </c>
      <c r="D943" s="1" t="s">
        <v>38</v>
      </c>
      <c r="E943" s="1">
        <v>1</v>
      </c>
      <c r="F943" s="1">
        <v>9000</v>
      </c>
      <c r="G943" s="1">
        <v>9000</v>
      </c>
      <c r="H943" s="1">
        <v>1707</v>
      </c>
      <c r="I943" s="1" t="s">
        <v>15</v>
      </c>
      <c r="J943" s="1">
        <v>6</v>
      </c>
      <c r="K943" s="1" t="s">
        <v>16</v>
      </c>
      <c r="L943" s="1">
        <v>2</v>
      </c>
      <c r="M943" s="1" t="s">
        <v>20</v>
      </c>
      <c r="N943" s="5">
        <f>IF(Tabulka1[[#This Row],[E-shop]]="ano",1,0)</f>
        <v>0</v>
      </c>
      <c r="O943" s="5">
        <f>IF(Tabulka1[[#This Row],[Reklamace]]="ano",1,0)</f>
        <v>1</v>
      </c>
    </row>
    <row r="944" spans="1:15" ht="15.75" customHeight="1" x14ac:dyDescent="0.3">
      <c r="A944" s="1">
        <v>754</v>
      </c>
      <c r="B944" s="2">
        <v>45400</v>
      </c>
      <c r="C944" s="1" t="s">
        <v>36</v>
      </c>
      <c r="D944" s="1" t="s">
        <v>46</v>
      </c>
      <c r="E944" s="1">
        <v>3</v>
      </c>
      <c r="F944" s="1">
        <v>3000</v>
      </c>
      <c r="G944" s="1">
        <v>9000</v>
      </c>
      <c r="H944" s="1">
        <v>2399</v>
      </c>
      <c r="I944" s="1" t="s">
        <v>15</v>
      </c>
      <c r="J944" s="1">
        <v>3</v>
      </c>
      <c r="K944" s="1" t="s">
        <v>15</v>
      </c>
      <c r="L944" s="1">
        <v>7</v>
      </c>
      <c r="M944" s="1" t="s">
        <v>17</v>
      </c>
      <c r="N944" s="5">
        <f>IF(Tabulka1[[#This Row],[E-shop]]="ano",1,0)</f>
        <v>0</v>
      </c>
      <c r="O944" s="5">
        <f>IF(Tabulka1[[#This Row],[Reklamace]]="ano",1,0)</f>
        <v>0</v>
      </c>
    </row>
    <row r="945" spans="1:15" ht="15.75" customHeight="1" x14ac:dyDescent="0.3">
      <c r="A945" s="1">
        <v>214</v>
      </c>
      <c r="B945" s="2">
        <v>45449</v>
      </c>
      <c r="C945" s="1" t="s">
        <v>18</v>
      </c>
      <c r="D945" s="1" t="s">
        <v>30</v>
      </c>
      <c r="E945" s="1">
        <v>1</v>
      </c>
      <c r="F945" s="1">
        <v>8000</v>
      </c>
      <c r="G945" s="1">
        <v>8000</v>
      </c>
      <c r="H945" s="1">
        <v>2385</v>
      </c>
      <c r="I945" s="1" t="s">
        <v>16</v>
      </c>
      <c r="J945" s="1">
        <v>6</v>
      </c>
      <c r="K945" s="1" t="s">
        <v>15</v>
      </c>
      <c r="L945" s="1">
        <v>3</v>
      </c>
      <c r="M945" s="1" t="s">
        <v>17</v>
      </c>
      <c r="N945" s="5">
        <f>IF(Tabulka1[[#This Row],[E-shop]]="ano",1,0)</f>
        <v>1</v>
      </c>
      <c r="O945" s="5">
        <f>IF(Tabulka1[[#This Row],[Reklamace]]="ano",1,0)</f>
        <v>0</v>
      </c>
    </row>
    <row r="946" spans="1:15" ht="15.75" customHeight="1" x14ac:dyDescent="0.3">
      <c r="A946" s="1">
        <v>276</v>
      </c>
      <c r="B946" s="2">
        <v>45444</v>
      </c>
      <c r="C946" s="1" t="s">
        <v>23</v>
      </c>
      <c r="D946" s="1" t="s">
        <v>30</v>
      </c>
      <c r="E946" s="1">
        <v>1</v>
      </c>
      <c r="F946" s="1">
        <v>8000</v>
      </c>
      <c r="G946" s="1">
        <v>8000</v>
      </c>
      <c r="H946" s="1">
        <v>1910</v>
      </c>
      <c r="I946" s="1" t="s">
        <v>15</v>
      </c>
      <c r="J946" s="1">
        <v>6</v>
      </c>
      <c r="K946" s="1" t="s">
        <v>15</v>
      </c>
      <c r="L946" s="1">
        <v>2</v>
      </c>
      <c r="M946" s="1" t="s">
        <v>20</v>
      </c>
      <c r="N946" s="5">
        <f>IF(Tabulka1[[#This Row],[E-shop]]="ano",1,0)</f>
        <v>0</v>
      </c>
      <c r="O946" s="5">
        <f>IF(Tabulka1[[#This Row],[Reklamace]]="ano",1,0)</f>
        <v>0</v>
      </c>
    </row>
    <row r="947" spans="1:15" ht="15.75" customHeight="1" x14ac:dyDescent="0.3">
      <c r="A947" s="1">
        <v>302</v>
      </c>
      <c r="B947" s="2">
        <v>45365</v>
      </c>
      <c r="C947" s="1" t="s">
        <v>31</v>
      </c>
      <c r="D947" s="1" t="s">
        <v>30</v>
      </c>
      <c r="E947" s="1">
        <v>1</v>
      </c>
      <c r="F947" s="1">
        <v>8000</v>
      </c>
      <c r="G947" s="1">
        <v>8000</v>
      </c>
      <c r="H947" s="1">
        <v>2292</v>
      </c>
      <c r="I947" s="1" t="s">
        <v>15</v>
      </c>
      <c r="J947" s="1">
        <v>7</v>
      </c>
      <c r="K947" s="1" t="s">
        <v>16</v>
      </c>
      <c r="L947" s="1">
        <v>2</v>
      </c>
      <c r="M947" s="1" t="s">
        <v>20</v>
      </c>
      <c r="N947" s="5">
        <f>IF(Tabulka1[[#This Row],[E-shop]]="ano",1,0)</f>
        <v>0</v>
      </c>
      <c r="O947" s="5">
        <f>IF(Tabulka1[[#This Row],[Reklamace]]="ano",1,0)</f>
        <v>1</v>
      </c>
    </row>
    <row r="948" spans="1:15" ht="15.75" customHeight="1" x14ac:dyDescent="0.3">
      <c r="A948" s="1">
        <v>191</v>
      </c>
      <c r="B948" s="2">
        <v>45786</v>
      </c>
      <c r="C948" s="1" t="s">
        <v>36</v>
      </c>
      <c r="D948" s="1" t="s">
        <v>39</v>
      </c>
      <c r="E948" s="1">
        <v>3</v>
      </c>
      <c r="F948" s="1">
        <v>2500</v>
      </c>
      <c r="G948" s="1">
        <v>7500</v>
      </c>
      <c r="H948" s="1">
        <v>1187</v>
      </c>
      <c r="I948" s="1" t="s">
        <v>16</v>
      </c>
      <c r="J948" s="1">
        <v>6</v>
      </c>
      <c r="K948" s="1" t="s">
        <v>16</v>
      </c>
      <c r="L948" s="1">
        <v>2</v>
      </c>
      <c r="M948" s="1" t="s">
        <v>20</v>
      </c>
      <c r="N948" s="5">
        <f>IF(Tabulka1[[#This Row],[E-shop]]="ano",1,0)</f>
        <v>1</v>
      </c>
      <c r="O948" s="5">
        <f>IF(Tabulka1[[#This Row],[Reklamace]]="ano",1,0)</f>
        <v>1</v>
      </c>
    </row>
    <row r="949" spans="1:15" ht="15.75" customHeight="1" x14ac:dyDescent="0.3">
      <c r="A949" s="1">
        <v>538</v>
      </c>
      <c r="B949" s="2">
        <v>45923</v>
      </c>
      <c r="C949" s="1" t="s">
        <v>25</v>
      </c>
      <c r="D949" s="1" t="s">
        <v>39</v>
      </c>
      <c r="E949" s="1">
        <v>3</v>
      </c>
      <c r="F949" s="1">
        <v>2500</v>
      </c>
      <c r="G949" s="1">
        <v>7500</v>
      </c>
      <c r="H949" s="1">
        <v>1452</v>
      </c>
      <c r="I949" s="1" t="s">
        <v>15</v>
      </c>
      <c r="J949" s="1">
        <v>6</v>
      </c>
      <c r="K949" s="1" t="s">
        <v>16</v>
      </c>
      <c r="L949" s="1">
        <v>4</v>
      </c>
      <c r="M949" s="1" t="s">
        <v>20</v>
      </c>
      <c r="N949" s="5">
        <f>IF(Tabulka1[[#This Row],[E-shop]]="ano",1,0)</f>
        <v>0</v>
      </c>
      <c r="O949" s="5">
        <f>IF(Tabulka1[[#This Row],[Reklamace]]="ano",1,0)</f>
        <v>1</v>
      </c>
    </row>
    <row r="950" spans="1:15" ht="15.75" customHeight="1" x14ac:dyDescent="0.3">
      <c r="A950" s="1">
        <v>772</v>
      </c>
      <c r="B950" s="2">
        <v>45835</v>
      </c>
      <c r="C950" s="1" t="s">
        <v>25</v>
      </c>
      <c r="D950" s="1" t="s">
        <v>39</v>
      </c>
      <c r="E950" s="1">
        <v>3</v>
      </c>
      <c r="F950" s="1">
        <v>2500</v>
      </c>
      <c r="G950" s="1">
        <v>7500</v>
      </c>
      <c r="H950" s="1">
        <v>1902</v>
      </c>
      <c r="I950" s="1" t="s">
        <v>15</v>
      </c>
      <c r="J950" s="1">
        <v>5</v>
      </c>
      <c r="K950" s="1" t="s">
        <v>16</v>
      </c>
      <c r="L950" s="1">
        <v>3</v>
      </c>
      <c r="M950" s="1" t="s">
        <v>20</v>
      </c>
      <c r="N950" s="5">
        <f>IF(Tabulka1[[#This Row],[E-shop]]="ano",1,0)</f>
        <v>0</v>
      </c>
      <c r="O950" s="5">
        <f>IF(Tabulka1[[#This Row],[Reklamace]]="ano",1,0)</f>
        <v>1</v>
      </c>
    </row>
    <row r="951" spans="1:15" ht="15.75" customHeight="1" x14ac:dyDescent="0.3">
      <c r="A951" s="1">
        <v>131</v>
      </c>
      <c r="B951" s="2">
        <v>45367</v>
      </c>
      <c r="C951" s="1" t="s">
        <v>18</v>
      </c>
      <c r="D951" s="1" t="s">
        <v>34</v>
      </c>
      <c r="E951" s="1">
        <v>2</v>
      </c>
      <c r="F951" s="1">
        <v>3500</v>
      </c>
      <c r="G951" s="1">
        <v>7000</v>
      </c>
      <c r="H951" s="1">
        <v>1121</v>
      </c>
      <c r="I951" s="1" t="s">
        <v>15</v>
      </c>
      <c r="J951" s="1">
        <v>7</v>
      </c>
      <c r="K951" s="1" t="s">
        <v>16</v>
      </c>
      <c r="L951" s="1">
        <v>2</v>
      </c>
      <c r="M951" s="1" t="s">
        <v>20</v>
      </c>
      <c r="N951" s="5">
        <f>IF(Tabulka1[[#This Row],[E-shop]]="ano",1,0)</f>
        <v>0</v>
      </c>
      <c r="O951" s="5">
        <f>IF(Tabulka1[[#This Row],[Reklamace]]="ano",1,0)</f>
        <v>1</v>
      </c>
    </row>
    <row r="952" spans="1:15" ht="15.75" customHeight="1" x14ac:dyDescent="0.3">
      <c r="A952" s="1">
        <v>304</v>
      </c>
      <c r="B952" s="2">
        <v>45772</v>
      </c>
      <c r="C952" s="1" t="s">
        <v>25</v>
      </c>
      <c r="D952" s="1" t="s">
        <v>24</v>
      </c>
      <c r="E952" s="1">
        <v>1</v>
      </c>
      <c r="F952" s="1">
        <v>7000</v>
      </c>
      <c r="G952" s="1">
        <v>7000</v>
      </c>
      <c r="H952" s="1">
        <v>1331</v>
      </c>
      <c r="I952" s="1" t="s">
        <v>15</v>
      </c>
      <c r="J952" s="1">
        <v>1</v>
      </c>
      <c r="K952" s="1" t="s">
        <v>15</v>
      </c>
      <c r="L952" s="1">
        <v>10</v>
      </c>
      <c r="M952" s="1" t="s">
        <v>17</v>
      </c>
      <c r="N952" s="5">
        <f>IF(Tabulka1[[#This Row],[E-shop]]="ano",1,0)</f>
        <v>0</v>
      </c>
      <c r="O952" s="5">
        <f>IF(Tabulka1[[#This Row],[Reklamace]]="ano",1,0)</f>
        <v>0</v>
      </c>
    </row>
    <row r="953" spans="1:15" ht="15.75" customHeight="1" x14ac:dyDescent="0.3">
      <c r="A953" s="1">
        <v>384</v>
      </c>
      <c r="B953" s="2">
        <v>45501</v>
      </c>
      <c r="C953" s="1" t="s">
        <v>13</v>
      </c>
      <c r="D953" s="1" t="s">
        <v>45</v>
      </c>
      <c r="E953" s="1">
        <v>2</v>
      </c>
      <c r="F953" s="1">
        <v>3500</v>
      </c>
      <c r="G953" s="1">
        <v>7000</v>
      </c>
      <c r="H953" s="1">
        <v>1742</v>
      </c>
      <c r="I953" s="1" t="s">
        <v>16</v>
      </c>
      <c r="J953" s="1">
        <v>2</v>
      </c>
      <c r="K953" s="1" t="s">
        <v>15</v>
      </c>
      <c r="L953" s="1">
        <v>6</v>
      </c>
      <c r="M953" s="1" t="s">
        <v>17</v>
      </c>
      <c r="N953" s="5">
        <f>IF(Tabulka1[[#This Row],[E-shop]]="ano",1,0)</f>
        <v>1</v>
      </c>
      <c r="O953" s="5">
        <f>IF(Tabulka1[[#This Row],[Reklamace]]="ano",1,0)</f>
        <v>0</v>
      </c>
    </row>
    <row r="954" spans="1:15" ht="15.75" customHeight="1" x14ac:dyDescent="0.3">
      <c r="A954" s="1">
        <v>511</v>
      </c>
      <c r="B954" s="2">
        <v>45410</v>
      </c>
      <c r="C954" s="1" t="s">
        <v>21</v>
      </c>
      <c r="D954" s="1" t="s">
        <v>37</v>
      </c>
      <c r="E954" s="1">
        <v>1</v>
      </c>
      <c r="F954" s="1">
        <v>7000</v>
      </c>
      <c r="G954" s="1">
        <v>7000</v>
      </c>
      <c r="H954" s="1">
        <v>1617</v>
      </c>
      <c r="I954" s="1" t="s">
        <v>15</v>
      </c>
      <c r="J954" s="1">
        <v>5</v>
      </c>
      <c r="K954" s="1" t="s">
        <v>15</v>
      </c>
      <c r="L954" s="1">
        <v>6</v>
      </c>
      <c r="M954" s="1" t="s">
        <v>20</v>
      </c>
      <c r="N954" s="5">
        <f>IF(Tabulka1[[#This Row],[E-shop]]="ano",1,0)</f>
        <v>0</v>
      </c>
      <c r="O954" s="5">
        <f>IF(Tabulka1[[#This Row],[Reklamace]]="ano",1,0)</f>
        <v>0</v>
      </c>
    </row>
    <row r="955" spans="1:15" ht="15.75" customHeight="1" x14ac:dyDescent="0.3">
      <c r="A955" s="1">
        <v>588</v>
      </c>
      <c r="B955" s="2">
        <v>45763</v>
      </c>
      <c r="C955" s="1" t="s">
        <v>21</v>
      </c>
      <c r="D955" s="1" t="s">
        <v>42</v>
      </c>
      <c r="E955" s="1">
        <v>1</v>
      </c>
      <c r="F955" s="1">
        <v>7000</v>
      </c>
      <c r="G955" s="1">
        <v>7000</v>
      </c>
      <c r="H955" s="1">
        <v>1471</v>
      </c>
      <c r="I955" s="1" t="s">
        <v>16</v>
      </c>
      <c r="J955" s="1">
        <v>5</v>
      </c>
      <c r="K955" s="1" t="s">
        <v>15</v>
      </c>
      <c r="L955" s="1">
        <v>4</v>
      </c>
      <c r="M955" s="1" t="s">
        <v>20</v>
      </c>
      <c r="N955" s="5">
        <f>IF(Tabulka1[[#This Row],[E-shop]]="ano",1,0)</f>
        <v>1</v>
      </c>
      <c r="O955" s="5">
        <f>IF(Tabulka1[[#This Row],[Reklamace]]="ano",1,0)</f>
        <v>0</v>
      </c>
    </row>
    <row r="956" spans="1:15" ht="15.75" customHeight="1" x14ac:dyDescent="0.3">
      <c r="A956" s="1">
        <v>624</v>
      </c>
      <c r="B956" s="2">
        <v>45694</v>
      </c>
      <c r="C956" s="1" t="s">
        <v>31</v>
      </c>
      <c r="D956" s="1" t="s">
        <v>42</v>
      </c>
      <c r="E956" s="1">
        <v>1</v>
      </c>
      <c r="F956" s="1">
        <v>7000</v>
      </c>
      <c r="G956" s="1">
        <v>7000</v>
      </c>
      <c r="H956" s="1">
        <v>1824</v>
      </c>
      <c r="I956" s="1" t="s">
        <v>15</v>
      </c>
      <c r="J956" s="1">
        <v>3</v>
      </c>
      <c r="K956" s="1" t="s">
        <v>15</v>
      </c>
      <c r="L956" s="1">
        <v>8</v>
      </c>
      <c r="M956" s="1" t="s">
        <v>20</v>
      </c>
      <c r="N956" s="5">
        <f>IF(Tabulka1[[#This Row],[E-shop]]="ano",1,0)</f>
        <v>0</v>
      </c>
      <c r="O956" s="5">
        <f>IF(Tabulka1[[#This Row],[Reklamace]]="ano",1,0)</f>
        <v>0</v>
      </c>
    </row>
    <row r="957" spans="1:15" ht="15.75" customHeight="1" x14ac:dyDescent="0.3">
      <c r="A957" s="1">
        <v>642</v>
      </c>
      <c r="B957" s="2">
        <v>45660</v>
      </c>
      <c r="C957" s="1" t="s">
        <v>13</v>
      </c>
      <c r="D957" s="1" t="s">
        <v>34</v>
      </c>
      <c r="E957" s="1">
        <v>2</v>
      </c>
      <c r="F957" s="1">
        <v>3500</v>
      </c>
      <c r="G957" s="1">
        <v>7000</v>
      </c>
      <c r="H957" s="1">
        <v>1641</v>
      </c>
      <c r="I957" s="1" t="s">
        <v>16</v>
      </c>
      <c r="J957" s="1">
        <v>2</v>
      </c>
      <c r="K957" s="1" t="s">
        <v>15</v>
      </c>
      <c r="L957" s="1">
        <v>6</v>
      </c>
      <c r="M957" s="1" t="s">
        <v>20</v>
      </c>
      <c r="N957" s="5">
        <f>IF(Tabulka1[[#This Row],[E-shop]]="ano",1,0)</f>
        <v>1</v>
      </c>
      <c r="O957" s="5">
        <f>IF(Tabulka1[[#This Row],[Reklamace]]="ano",1,0)</f>
        <v>0</v>
      </c>
    </row>
    <row r="958" spans="1:15" ht="15.75" customHeight="1" x14ac:dyDescent="0.3">
      <c r="A958" s="1">
        <v>668</v>
      </c>
      <c r="B958" s="2">
        <v>45685</v>
      </c>
      <c r="C958" s="1" t="s">
        <v>25</v>
      </c>
      <c r="D958" s="1" t="s">
        <v>45</v>
      </c>
      <c r="E958" s="1">
        <v>2</v>
      </c>
      <c r="F958" s="1">
        <v>3500</v>
      </c>
      <c r="G958" s="1">
        <v>7000</v>
      </c>
      <c r="H958" s="1">
        <v>1929</v>
      </c>
      <c r="I958" s="1" t="s">
        <v>15</v>
      </c>
      <c r="J958" s="1">
        <v>7</v>
      </c>
      <c r="K958" s="1" t="s">
        <v>16</v>
      </c>
      <c r="L958" s="1">
        <v>3</v>
      </c>
      <c r="M958" s="1" t="s">
        <v>20</v>
      </c>
      <c r="N958" s="5">
        <f>IF(Tabulka1[[#This Row],[E-shop]]="ano",1,0)</f>
        <v>0</v>
      </c>
      <c r="O958" s="5">
        <f>IF(Tabulka1[[#This Row],[Reklamace]]="ano",1,0)</f>
        <v>1</v>
      </c>
    </row>
    <row r="959" spans="1:15" ht="15.75" customHeight="1" x14ac:dyDescent="0.3">
      <c r="A959" s="1">
        <v>727</v>
      </c>
      <c r="B959" s="2">
        <v>45676</v>
      </c>
      <c r="C959" s="1" t="s">
        <v>21</v>
      </c>
      <c r="D959" s="1" t="s">
        <v>37</v>
      </c>
      <c r="E959" s="1">
        <v>1</v>
      </c>
      <c r="F959" s="1">
        <v>7000</v>
      </c>
      <c r="G959" s="1">
        <v>7000</v>
      </c>
      <c r="H959" s="1">
        <v>1942</v>
      </c>
      <c r="I959" s="1" t="s">
        <v>15</v>
      </c>
      <c r="J959" s="1">
        <v>2</v>
      </c>
      <c r="K959" s="1" t="s">
        <v>15</v>
      </c>
      <c r="L959" s="1">
        <v>8</v>
      </c>
      <c r="M959" s="1" t="s">
        <v>20</v>
      </c>
      <c r="N959" s="5">
        <f>IF(Tabulka1[[#This Row],[E-shop]]="ano",1,0)</f>
        <v>0</v>
      </c>
      <c r="O959" s="5">
        <f>IF(Tabulka1[[#This Row],[Reklamace]]="ano",1,0)</f>
        <v>0</v>
      </c>
    </row>
    <row r="960" spans="1:15" ht="15.75" customHeight="1" x14ac:dyDescent="0.3">
      <c r="A960" s="1">
        <v>747</v>
      </c>
      <c r="B960" s="2">
        <v>45421</v>
      </c>
      <c r="C960" s="1" t="s">
        <v>36</v>
      </c>
      <c r="D960" s="1" t="s">
        <v>45</v>
      </c>
      <c r="E960" s="1">
        <v>2</v>
      </c>
      <c r="F960" s="1">
        <v>3500</v>
      </c>
      <c r="G960" s="1">
        <v>7000</v>
      </c>
      <c r="H960" s="1">
        <v>1440</v>
      </c>
      <c r="I960" s="1" t="s">
        <v>15</v>
      </c>
      <c r="J960" s="1">
        <v>6</v>
      </c>
      <c r="K960" s="1" t="s">
        <v>15</v>
      </c>
      <c r="L960" s="1">
        <v>5</v>
      </c>
      <c r="M960" s="1" t="s">
        <v>20</v>
      </c>
      <c r="N960" s="5">
        <f>IF(Tabulka1[[#This Row],[E-shop]]="ano",1,0)</f>
        <v>0</v>
      </c>
      <c r="O960" s="5">
        <f>IF(Tabulka1[[#This Row],[Reklamace]]="ano",1,0)</f>
        <v>0</v>
      </c>
    </row>
    <row r="961" spans="1:15" ht="15.75" customHeight="1" x14ac:dyDescent="0.3">
      <c r="A961" s="1">
        <v>854</v>
      </c>
      <c r="B961" s="2">
        <v>45708</v>
      </c>
      <c r="C961" s="1" t="s">
        <v>13</v>
      </c>
      <c r="D961" s="1" t="s">
        <v>24</v>
      </c>
      <c r="E961" s="1">
        <v>1</v>
      </c>
      <c r="F961" s="1">
        <v>7000</v>
      </c>
      <c r="G961" s="1">
        <v>7000</v>
      </c>
      <c r="H961" s="1">
        <v>2081</v>
      </c>
      <c r="I961" s="1" t="s">
        <v>16</v>
      </c>
      <c r="J961" s="1">
        <v>4</v>
      </c>
      <c r="K961" s="1" t="s">
        <v>15</v>
      </c>
      <c r="L961" s="1">
        <v>6</v>
      </c>
      <c r="M961" s="1" t="s">
        <v>20</v>
      </c>
      <c r="N961" s="5">
        <f>IF(Tabulka1[[#This Row],[E-shop]]="ano",1,0)</f>
        <v>1</v>
      </c>
      <c r="O961" s="5">
        <f>IF(Tabulka1[[#This Row],[Reklamace]]="ano",1,0)</f>
        <v>0</v>
      </c>
    </row>
    <row r="962" spans="1:15" ht="15.75" customHeight="1" x14ac:dyDescent="0.3">
      <c r="A962" s="1">
        <v>900</v>
      </c>
      <c r="B962" s="2">
        <v>45976</v>
      </c>
      <c r="C962" s="1" t="s">
        <v>23</v>
      </c>
      <c r="D962" s="1" t="s">
        <v>24</v>
      </c>
      <c r="E962" s="1">
        <v>1</v>
      </c>
      <c r="F962" s="1">
        <v>7000</v>
      </c>
      <c r="G962" s="1">
        <v>7000</v>
      </c>
      <c r="H962" s="1">
        <v>1929</v>
      </c>
      <c r="I962" s="1" t="s">
        <v>15</v>
      </c>
      <c r="J962" s="1">
        <v>6</v>
      </c>
      <c r="K962" s="1" t="s">
        <v>15</v>
      </c>
      <c r="L962" s="1">
        <v>3</v>
      </c>
      <c r="M962" s="1" t="s">
        <v>20</v>
      </c>
      <c r="N962" s="5">
        <f>IF(Tabulka1[[#This Row],[E-shop]]="ano",1,0)</f>
        <v>0</v>
      </c>
      <c r="O962" s="5">
        <f>IF(Tabulka1[[#This Row],[Reklamace]]="ano",1,0)</f>
        <v>0</v>
      </c>
    </row>
    <row r="963" spans="1:15" ht="15.75" customHeight="1" x14ac:dyDescent="0.3">
      <c r="A963" s="1">
        <v>944</v>
      </c>
      <c r="B963" s="2">
        <v>46005</v>
      </c>
      <c r="C963" s="1" t="s">
        <v>21</v>
      </c>
      <c r="D963" s="1" t="s">
        <v>24</v>
      </c>
      <c r="E963" s="1">
        <v>1</v>
      </c>
      <c r="F963" s="1">
        <v>7000</v>
      </c>
      <c r="G963" s="1">
        <v>7000</v>
      </c>
      <c r="H963" s="1">
        <v>1052</v>
      </c>
      <c r="I963" s="1" t="s">
        <v>16</v>
      </c>
      <c r="J963" s="1">
        <v>1</v>
      </c>
      <c r="K963" s="1" t="s">
        <v>15</v>
      </c>
      <c r="L963" s="1">
        <v>7</v>
      </c>
      <c r="M963" s="1" t="s">
        <v>20</v>
      </c>
      <c r="N963" s="5">
        <f>IF(Tabulka1[[#This Row],[E-shop]]="ano",1,0)</f>
        <v>1</v>
      </c>
      <c r="O963" s="5">
        <f>IF(Tabulka1[[#This Row],[Reklamace]]="ano",1,0)</f>
        <v>0</v>
      </c>
    </row>
    <row r="964" spans="1:15" ht="15.75" customHeight="1" x14ac:dyDescent="0.3">
      <c r="A964" s="1">
        <v>84</v>
      </c>
      <c r="B964" s="2">
        <v>45747</v>
      </c>
      <c r="C964" s="1" t="s">
        <v>23</v>
      </c>
      <c r="D964" s="1" t="s">
        <v>46</v>
      </c>
      <c r="E964" s="1">
        <v>2</v>
      </c>
      <c r="F964" s="1">
        <v>3000</v>
      </c>
      <c r="G964" s="1">
        <v>6000</v>
      </c>
      <c r="H964" s="1">
        <v>1791</v>
      </c>
      <c r="I964" s="1" t="s">
        <v>16</v>
      </c>
      <c r="J964" s="1">
        <v>5</v>
      </c>
      <c r="K964" s="1" t="s">
        <v>16</v>
      </c>
      <c r="L964" s="1">
        <v>5</v>
      </c>
      <c r="M964" s="1" t="s">
        <v>20</v>
      </c>
      <c r="N964" s="5">
        <f>IF(Tabulka1[[#This Row],[E-shop]]="ano",1,0)</f>
        <v>1</v>
      </c>
      <c r="O964" s="5">
        <f>IF(Tabulka1[[#This Row],[Reklamace]]="ano",1,0)</f>
        <v>1</v>
      </c>
    </row>
    <row r="965" spans="1:15" ht="15.75" customHeight="1" x14ac:dyDescent="0.3">
      <c r="A965" s="1">
        <v>119</v>
      </c>
      <c r="B965" s="2">
        <v>45742</v>
      </c>
      <c r="C965" s="1" t="s">
        <v>18</v>
      </c>
      <c r="D965" s="1" t="s">
        <v>33</v>
      </c>
      <c r="E965" s="1">
        <v>1</v>
      </c>
      <c r="F965" s="1">
        <v>6000</v>
      </c>
      <c r="G965" s="1">
        <v>6000</v>
      </c>
      <c r="H965" s="1">
        <v>1285</v>
      </c>
      <c r="I965" s="1" t="s">
        <v>15</v>
      </c>
      <c r="J965" s="1">
        <v>5</v>
      </c>
      <c r="K965" s="1" t="s">
        <v>15</v>
      </c>
      <c r="L965" s="1">
        <v>3</v>
      </c>
      <c r="M965" s="1" t="s">
        <v>20</v>
      </c>
      <c r="N965" s="5">
        <f>IF(Tabulka1[[#This Row],[E-shop]]="ano",1,0)</f>
        <v>0</v>
      </c>
      <c r="O965" s="5">
        <f>IF(Tabulka1[[#This Row],[Reklamace]]="ano",1,0)</f>
        <v>0</v>
      </c>
    </row>
    <row r="966" spans="1:15" ht="15.75" customHeight="1" x14ac:dyDescent="0.3">
      <c r="A966" s="1">
        <v>169</v>
      </c>
      <c r="B966" s="2">
        <v>45373</v>
      </c>
      <c r="C966" s="1" t="s">
        <v>21</v>
      </c>
      <c r="D966" s="1" t="s">
        <v>46</v>
      </c>
      <c r="E966" s="1">
        <v>2</v>
      </c>
      <c r="F966" s="1">
        <v>3000</v>
      </c>
      <c r="G966" s="1">
        <v>6000</v>
      </c>
      <c r="H966" s="1">
        <v>905</v>
      </c>
      <c r="I966" s="1" t="s">
        <v>15</v>
      </c>
      <c r="J966" s="1">
        <v>2</v>
      </c>
      <c r="K966" s="1" t="s">
        <v>15</v>
      </c>
      <c r="L966" s="1">
        <v>6</v>
      </c>
      <c r="M966" s="1" t="s">
        <v>20</v>
      </c>
      <c r="N966" s="5">
        <f>IF(Tabulka1[[#This Row],[E-shop]]="ano",1,0)</f>
        <v>0</v>
      </c>
      <c r="O966" s="5">
        <f>IF(Tabulka1[[#This Row],[Reklamace]]="ano",1,0)</f>
        <v>0</v>
      </c>
    </row>
    <row r="967" spans="1:15" ht="15.75" customHeight="1" x14ac:dyDescent="0.3">
      <c r="A967" s="1">
        <v>201</v>
      </c>
      <c r="B967" s="2">
        <v>45850</v>
      </c>
      <c r="C967" s="1" t="s">
        <v>13</v>
      </c>
      <c r="D967" s="1" t="s">
        <v>33</v>
      </c>
      <c r="E967" s="1">
        <v>1</v>
      </c>
      <c r="F967" s="1">
        <v>6000</v>
      </c>
      <c r="G967" s="1">
        <v>6000</v>
      </c>
      <c r="H967" s="1">
        <v>1741</v>
      </c>
      <c r="I967" s="1" t="s">
        <v>16</v>
      </c>
      <c r="J967" s="1">
        <v>2</v>
      </c>
      <c r="K967" s="1" t="s">
        <v>15</v>
      </c>
      <c r="L967" s="1">
        <v>6</v>
      </c>
      <c r="M967" s="1" t="s">
        <v>20</v>
      </c>
      <c r="N967" s="5">
        <f>IF(Tabulka1[[#This Row],[E-shop]]="ano",1,0)</f>
        <v>1</v>
      </c>
      <c r="O967" s="5">
        <f>IF(Tabulka1[[#This Row],[Reklamace]]="ano",1,0)</f>
        <v>0</v>
      </c>
    </row>
    <row r="968" spans="1:15" ht="15.75" customHeight="1" x14ac:dyDescent="0.3">
      <c r="A968" s="1">
        <v>306</v>
      </c>
      <c r="B968" s="2">
        <v>45594</v>
      </c>
      <c r="C968" s="1" t="s">
        <v>25</v>
      </c>
      <c r="D968" s="1" t="s">
        <v>33</v>
      </c>
      <c r="E968" s="1">
        <v>1</v>
      </c>
      <c r="F968" s="1">
        <v>6000</v>
      </c>
      <c r="G968" s="1">
        <v>6000</v>
      </c>
      <c r="H968" s="1">
        <v>1236</v>
      </c>
      <c r="I968" s="1" t="s">
        <v>15</v>
      </c>
      <c r="J968" s="1">
        <v>7</v>
      </c>
      <c r="K968" s="1" t="s">
        <v>15</v>
      </c>
      <c r="L968" s="1">
        <v>1</v>
      </c>
      <c r="M968" s="1" t="s">
        <v>20</v>
      </c>
      <c r="N968" s="5">
        <f>IF(Tabulka1[[#This Row],[E-shop]]="ano",1,0)</f>
        <v>0</v>
      </c>
      <c r="O968" s="5">
        <f>IF(Tabulka1[[#This Row],[Reklamace]]="ano",1,0)</f>
        <v>0</v>
      </c>
    </row>
    <row r="969" spans="1:15" ht="15.75" customHeight="1" x14ac:dyDescent="0.3">
      <c r="A969" s="1">
        <v>355</v>
      </c>
      <c r="B969" s="2">
        <v>45992</v>
      </c>
      <c r="C969" s="1" t="s">
        <v>23</v>
      </c>
      <c r="D969" s="1" t="s">
        <v>46</v>
      </c>
      <c r="E969" s="1">
        <v>2</v>
      </c>
      <c r="F969" s="1">
        <v>3000</v>
      </c>
      <c r="G969" s="1">
        <v>6000</v>
      </c>
      <c r="H969" s="1">
        <v>1401</v>
      </c>
      <c r="I969" s="1" t="s">
        <v>15</v>
      </c>
      <c r="J969" s="1">
        <v>6</v>
      </c>
      <c r="K969" s="1" t="s">
        <v>15</v>
      </c>
      <c r="L969" s="1">
        <v>5</v>
      </c>
      <c r="M969" s="1" t="s">
        <v>20</v>
      </c>
      <c r="N969" s="5">
        <f>IF(Tabulka1[[#This Row],[E-shop]]="ano",1,0)</f>
        <v>0</v>
      </c>
      <c r="O969" s="5">
        <f>IF(Tabulka1[[#This Row],[Reklamace]]="ano",1,0)</f>
        <v>0</v>
      </c>
    </row>
    <row r="970" spans="1:15" ht="15.75" customHeight="1" x14ac:dyDescent="0.3">
      <c r="A970" s="1">
        <v>397</v>
      </c>
      <c r="B970" s="2">
        <v>45332</v>
      </c>
      <c r="C970" s="1" t="s">
        <v>18</v>
      </c>
      <c r="D970" s="1" t="s">
        <v>33</v>
      </c>
      <c r="E970" s="1">
        <v>1</v>
      </c>
      <c r="F970" s="1">
        <v>6000</v>
      </c>
      <c r="G970" s="1">
        <v>6000</v>
      </c>
      <c r="H970" s="1">
        <v>1017</v>
      </c>
      <c r="I970" s="1" t="s">
        <v>15</v>
      </c>
      <c r="J970" s="1">
        <v>1</v>
      </c>
      <c r="K970" s="1" t="s">
        <v>15</v>
      </c>
      <c r="L970" s="1">
        <v>10</v>
      </c>
      <c r="M970" s="1" t="s">
        <v>20</v>
      </c>
      <c r="N970" s="5">
        <f>IF(Tabulka1[[#This Row],[E-shop]]="ano",1,0)</f>
        <v>0</v>
      </c>
      <c r="O970" s="5">
        <f>IF(Tabulka1[[#This Row],[Reklamace]]="ano",1,0)</f>
        <v>0</v>
      </c>
    </row>
    <row r="971" spans="1:15" ht="15.75" customHeight="1" x14ac:dyDescent="0.3">
      <c r="A971" s="1">
        <v>409</v>
      </c>
      <c r="B971" s="2">
        <v>45600</v>
      </c>
      <c r="C971" s="1" t="s">
        <v>31</v>
      </c>
      <c r="D971" s="1" t="s">
        <v>33</v>
      </c>
      <c r="E971" s="1">
        <v>1</v>
      </c>
      <c r="F971" s="1">
        <v>6000</v>
      </c>
      <c r="G971" s="1">
        <v>6000</v>
      </c>
      <c r="H971" s="1">
        <v>1481</v>
      </c>
      <c r="I971" s="1" t="s">
        <v>15</v>
      </c>
      <c r="J971" s="1">
        <v>4</v>
      </c>
      <c r="K971" s="1" t="s">
        <v>15</v>
      </c>
      <c r="L971" s="1">
        <v>6</v>
      </c>
      <c r="M971" s="1" t="s">
        <v>20</v>
      </c>
      <c r="N971" s="5">
        <f>IF(Tabulka1[[#This Row],[E-shop]]="ano",1,0)</f>
        <v>0</v>
      </c>
      <c r="O971" s="5">
        <f>IF(Tabulka1[[#This Row],[Reklamace]]="ano",1,0)</f>
        <v>0</v>
      </c>
    </row>
    <row r="972" spans="1:15" ht="15.75" customHeight="1" x14ac:dyDescent="0.3">
      <c r="A972" s="1">
        <v>735</v>
      </c>
      <c r="B972" s="2">
        <v>45860</v>
      </c>
      <c r="C972" s="1" t="s">
        <v>25</v>
      </c>
      <c r="D972" s="1" t="s">
        <v>46</v>
      </c>
      <c r="E972" s="1">
        <v>2</v>
      </c>
      <c r="F972" s="1">
        <v>3000</v>
      </c>
      <c r="G972" s="1">
        <v>6000</v>
      </c>
      <c r="H972" s="1">
        <v>1387</v>
      </c>
      <c r="I972" s="1" t="s">
        <v>15</v>
      </c>
      <c r="J972" s="1">
        <v>1</v>
      </c>
      <c r="K972" s="1" t="s">
        <v>15</v>
      </c>
      <c r="L972" s="1">
        <v>9</v>
      </c>
      <c r="M972" s="1" t="s">
        <v>17</v>
      </c>
      <c r="N972" s="5">
        <f>IF(Tabulka1[[#This Row],[E-shop]]="ano",1,0)</f>
        <v>0</v>
      </c>
      <c r="O972" s="5">
        <f>IF(Tabulka1[[#This Row],[Reklamace]]="ano",1,0)</f>
        <v>0</v>
      </c>
    </row>
    <row r="973" spans="1:15" ht="15.75" customHeight="1" x14ac:dyDescent="0.3">
      <c r="A973" s="1">
        <v>796</v>
      </c>
      <c r="B973" s="2">
        <v>45793</v>
      </c>
      <c r="C973" s="1" t="s">
        <v>18</v>
      </c>
      <c r="D973" s="1" t="s">
        <v>33</v>
      </c>
      <c r="E973" s="1">
        <v>1</v>
      </c>
      <c r="F973" s="1">
        <v>6000</v>
      </c>
      <c r="G973" s="1">
        <v>6000</v>
      </c>
      <c r="H973" s="1">
        <v>1644</v>
      </c>
      <c r="I973" s="1" t="s">
        <v>15</v>
      </c>
      <c r="J973" s="1">
        <v>6</v>
      </c>
      <c r="K973" s="1" t="s">
        <v>16</v>
      </c>
      <c r="L973" s="1">
        <v>3</v>
      </c>
      <c r="M973" s="1" t="s">
        <v>20</v>
      </c>
      <c r="N973" s="5">
        <f>IF(Tabulka1[[#This Row],[E-shop]]="ano",1,0)</f>
        <v>0</v>
      </c>
      <c r="O973" s="5">
        <f>IF(Tabulka1[[#This Row],[Reklamace]]="ano",1,0)</f>
        <v>1</v>
      </c>
    </row>
    <row r="974" spans="1:15" ht="15.75" customHeight="1" x14ac:dyDescent="0.3">
      <c r="A974" s="1">
        <v>36</v>
      </c>
      <c r="B974" s="2">
        <v>45505</v>
      </c>
      <c r="C974" s="1" t="s">
        <v>23</v>
      </c>
      <c r="D974" s="1" t="s">
        <v>41</v>
      </c>
      <c r="E974" s="1">
        <v>1</v>
      </c>
      <c r="F974" s="1">
        <v>5000</v>
      </c>
      <c r="G974" s="1">
        <v>5000</v>
      </c>
      <c r="H974" s="1">
        <v>979</v>
      </c>
      <c r="I974" s="1" t="s">
        <v>15</v>
      </c>
      <c r="J974" s="1">
        <v>2</v>
      </c>
      <c r="K974" s="1" t="s">
        <v>15</v>
      </c>
      <c r="L974" s="1">
        <v>9</v>
      </c>
      <c r="M974" s="1" t="s">
        <v>20</v>
      </c>
      <c r="N974" s="5">
        <f>IF(Tabulka1[[#This Row],[E-shop]]="ano",1,0)</f>
        <v>0</v>
      </c>
      <c r="O974" s="5">
        <f>IF(Tabulka1[[#This Row],[Reklamace]]="ano",1,0)</f>
        <v>0</v>
      </c>
    </row>
    <row r="975" spans="1:15" ht="15.75" customHeight="1" x14ac:dyDescent="0.3">
      <c r="A975" s="1">
        <v>147</v>
      </c>
      <c r="B975" s="2">
        <v>45370</v>
      </c>
      <c r="C975" s="1" t="s">
        <v>13</v>
      </c>
      <c r="D975" s="1" t="s">
        <v>39</v>
      </c>
      <c r="E975" s="1">
        <v>2</v>
      </c>
      <c r="F975" s="1">
        <v>2500</v>
      </c>
      <c r="G975" s="1">
        <v>5000</v>
      </c>
      <c r="H975" s="1">
        <v>1487</v>
      </c>
      <c r="I975" s="1" t="s">
        <v>15</v>
      </c>
      <c r="J975" s="1">
        <v>6</v>
      </c>
      <c r="K975" s="1" t="s">
        <v>16</v>
      </c>
      <c r="L975" s="1">
        <v>3</v>
      </c>
      <c r="M975" s="1" t="s">
        <v>20</v>
      </c>
      <c r="N975" s="5">
        <f>IF(Tabulka1[[#This Row],[E-shop]]="ano",1,0)</f>
        <v>0</v>
      </c>
      <c r="O975" s="5">
        <f>IF(Tabulka1[[#This Row],[Reklamace]]="ano",1,0)</f>
        <v>1</v>
      </c>
    </row>
    <row r="976" spans="1:15" ht="15.75" customHeight="1" x14ac:dyDescent="0.3">
      <c r="A976" s="1">
        <v>160</v>
      </c>
      <c r="B976" s="2">
        <v>45576</v>
      </c>
      <c r="C976" s="1" t="s">
        <v>13</v>
      </c>
      <c r="D976" s="1" t="s">
        <v>41</v>
      </c>
      <c r="E976" s="1">
        <v>1</v>
      </c>
      <c r="F976" s="1">
        <v>5000</v>
      </c>
      <c r="G976" s="1">
        <v>5000</v>
      </c>
      <c r="H976" s="1">
        <v>1012</v>
      </c>
      <c r="I976" s="1" t="s">
        <v>15</v>
      </c>
      <c r="J976" s="1">
        <v>1</v>
      </c>
      <c r="K976" s="1" t="s">
        <v>15</v>
      </c>
      <c r="L976" s="1">
        <v>8</v>
      </c>
      <c r="M976" s="1" t="s">
        <v>17</v>
      </c>
      <c r="N976" s="5">
        <f>IF(Tabulka1[[#This Row],[E-shop]]="ano",1,0)</f>
        <v>0</v>
      </c>
      <c r="O976" s="5">
        <f>IF(Tabulka1[[#This Row],[Reklamace]]="ano",1,0)</f>
        <v>0</v>
      </c>
    </row>
    <row r="977" spans="1:15" ht="15.75" customHeight="1" x14ac:dyDescent="0.3">
      <c r="A977" s="1">
        <v>175</v>
      </c>
      <c r="B977" s="2">
        <v>45963</v>
      </c>
      <c r="C977" s="1" t="s">
        <v>25</v>
      </c>
      <c r="D977" s="1" t="s">
        <v>39</v>
      </c>
      <c r="E977" s="1">
        <v>2</v>
      </c>
      <c r="F977" s="1">
        <v>2500</v>
      </c>
      <c r="G977" s="1">
        <v>5000</v>
      </c>
      <c r="H977" s="1">
        <v>1264</v>
      </c>
      <c r="I977" s="1" t="s">
        <v>15</v>
      </c>
      <c r="J977" s="1">
        <v>2</v>
      </c>
      <c r="K977" s="1" t="s">
        <v>15</v>
      </c>
      <c r="L977" s="1">
        <v>9</v>
      </c>
      <c r="M977" s="1" t="s">
        <v>20</v>
      </c>
      <c r="N977" s="5">
        <f>IF(Tabulka1[[#This Row],[E-shop]]="ano",1,0)</f>
        <v>0</v>
      </c>
      <c r="O977" s="5">
        <f>IF(Tabulka1[[#This Row],[Reklamace]]="ano",1,0)</f>
        <v>0</v>
      </c>
    </row>
    <row r="978" spans="1:15" ht="15.75" customHeight="1" x14ac:dyDescent="0.3">
      <c r="A978" s="1">
        <v>205</v>
      </c>
      <c r="B978" s="2">
        <v>45299</v>
      </c>
      <c r="C978" s="1" t="s">
        <v>23</v>
      </c>
      <c r="D978" s="1" t="s">
        <v>39</v>
      </c>
      <c r="E978" s="1">
        <v>2</v>
      </c>
      <c r="F978" s="1">
        <v>2500</v>
      </c>
      <c r="G978" s="1">
        <v>5000</v>
      </c>
      <c r="H978" s="1">
        <v>1350</v>
      </c>
      <c r="I978" s="1" t="s">
        <v>16</v>
      </c>
      <c r="J978" s="1">
        <v>7</v>
      </c>
      <c r="K978" s="1" t="s">
        <v>16</v>
      </c>
      <c r="L978" s="1">
        <v>2</v>
      </c>
      <c r="M978" s="1" t="s">
        <v>20</v>
      </c>
      <c r="N978" s="5">
        <f>IF(Tabulka1[[#This Row],[E-shop]]="ano",1,0)</f>
        <v>1</v>
      </c>
      <c r="O978" s="5">
        <f>IF(Tabulka1[[#This Row],[Reklamace]]="ano",1,0)</f>
        <v>1</v>
      </c>
    </row>
    <row r="979" spans="1:15" ht="15.75" customHeight="1" x14ac:dyDescent="0.3">
      <c r="A979" s="1">
        <v>298</v>
      </c>
      <c r="B979" s="2">
        <v>45393</v>
      </c>
      <c r="C979" s="1" t="s">
        <v>23</v>
      </c>
      <c r="D979" s="1" t="s">
        <v>39</v>
      </c>
      <c r="E979" s="1">
        <v>2</v>
      </c>
      <c r="F979" s="1">
        <v>2500</v>
      </c>
      <c r="G979" s="1">
        <v>5000</v>
      </c>
      <c r="H979" s="1">
        <v>1000</v>
      </c>
      <c r="I979" s="1" t="s">
        <v>15</v>
      </c>
      <c r="J979" s="1">
        <v>1</v>
      </c>
      <c r="K979" s="1" t="s">
        <v>15</v>
      </c>
      <c r="L979" s="1">
        <v>8</v>
      </c>
      <c r="M979" s="1" t="s">
        <v>20</v>
      </c>
      <c r="N979" s="5">
        <f>IF(Tabulka1[[#This Row],[E-shop]]="ano",1,0)</f>
        <v>0</v>
      </c>
      <c r="O979" s="5">
        <f>IF(Tabulka1[[#This Row],[Reklamace]]="ano",1,0)</f>
        <v>0</v>
      </c>
    </row>
    <row r="980" spans="1:15" ht="15.75" customHeight="1" x14ac:dyDescent="0.3">
      <c r="A980" s="1">
        <v>653</v>
      </c>
      <c r="B980" s="2">
        <v>45827</v>
      </c>
      <c r="C980" s="1" t="s">
        <v>23</v>
      </c>
      <c r="D980" s="1" t="s">
        <v>39</v>
      </c>
      <c r="E980" s="1">
        <v>2</v>
      </c>
      <c r="F980" s="1">
        <v>2500</v>
      </c>
      <c r="G980" s="1">
        <v>5000</v>
      </c>
      <c r="H980" s="1">
        <v>1083</v>
      </c>
      <c r="I980" s="1" t="s">
        <v>16</v>
      </c>
      <c r="J980" s="1">
        <v>3</v>
      </c>
      <c r="K980" s="1" t="s">
        <v>15</v>
      </c>
      <c r="L980" s="1">
        <v>8</v>
      </c>
      <c r="M980" s="1" t="s">
        <v>20</v>
      </c>
      <c r="N980" s="5">
        <f>IF(Tabulka1[[#This Row],[E-shop]]="ano",1,0)</f>
        <v>1</v>
      </c>
      <c r="O980" s="5">
        <f>IF(Tabulka1[[#This Row],[Reklamace]]="ano",1,0)</f>
        <v>0</v>
      </c>
    </row>
    <row r="981" spans="1:15" ht="15.75" customHeight="1" x14ac:dyDescent="0.3">
      <c r="A981" s="1">
        <v>836</v>
      </c>
      <c r="B981" s="2">
        <v>45837</v>
      </c>
      <c r="C981" s="1" t="s">
        <v>13</v>
      </c>
      <c r="D981" s="1" t="s">
        <v>41</v>
      </c>
      <c r="E981" s="1">
        <v>1</v>
      </c>
      <c r="F981" s="1">
        <v>5000</v>
      </c>
      <c r="G981" s="1">
        <v>5000</v>
      </c>
      <c r="H981" s="1">
        <v>922</v>
      </c>
      <c r="I981" s="1" t="s">
        <v>15</v>
      </c>
      <c r="J981" s="1">
        <v>5</v>
      </c>
      <c r="K981" s="1" t="s">
        <v>15</v>
      </c>
      <c r="L981" s="1">
        <v>6</v>
      </c>
      <c r="M981" s="1" t="s">
        <v>20</v>
      </c>
      <c r="N981" s="5">
        <f>IF(Tabulka1[[#This Row],[E-shop]]="ano",1,0)</f>
        <v>0</v>
      </c>
      <c r="O981" s="5">
        <f>IF(Tabulka1[[#This Row],[Reklamace]]="ano",1,0)</f>
        <v>0</v>
      </c>
    </row>
    <row r="982" spans="1:15" ht="15.75" customHeight="1" x14ac:dyDescent="0.3">
      <c r="A982" s="1">
        <v>912</v>
      </c>
      <c r="B982" s="2">
        <v>45423</v>
      </c>
      <c r="C982" s="1" t="s">
        <v>21</v>
      </c>
      <c r="D982" s="1" t="s">
        <v>39</v>
      </c>
      <c r="E982" s="1">
        <v>2</v>
      </c>
      <c r="F982" s="1">
        <v>2500</v>
      </c>
      <c r="G982" s="1">
        <v>5000</v>
      </c>
      <c r="H982" s="1">
        <v>1051</v>
      </c>
      <c r="I982" s="1" t="s">
        <v>15</v>
      </c>
      <c r="J982" s="1">
        <v>7</v>
      </c>
      <c r="K982" s="1" t="s">
        <v>16</v>
      </c>
      <c r="L982" s="1">
        <v>4</v>
      </c>
      <c r="M982" s="1" t="s">
        <v>20</v>
      </c>
      <c r="N982" s="5">
        <f>IF(Tabulka1[[#This Row],[E-shop]]="ano",1,0)</f>
        <v>0</v>
      </c>
      <c r="O982" s="5">
        <f>IF(Tabulka1[[#This Row],[Reklamace]]="ano",1,0)</f>
        <v>1</v>
      </c>
    </row>
    <row r="983" spans="1:15" ht="15.75" customHeight="1" x14ac:dyDescent="0.3">
      <c r="A983" s="1">
        <v>934</v>
      </c>
      <c r="B983" s="2">
        <v>45456</v>
      </c>
      <c r="C983" s="1" t="s">
        <v>36</v>
      </c>
      <c r="D983" s="1" t="s">
        <v>41</v>
      </c>
      <c r="E983" s="1">
        <v>1</v>
      </c>
      <c r="F983" s="1">
        <v>5000</v>
      </c>
      <c r="G983" s="1">
        <v>5000</v>
      </c>
      <c r="H983" s="1">
        <v>1402</v>
      </c>
      <c r="I983" s="1" t="s">
        <v>16</v>
      </c>
      <c r="J983" s="1">
        <v>7</v>
      </c>
      <c r="K983" s="1" t="s">
        <v>16</v>
      </c>
      <c r="L983" s="1">
        <v>2</v>
      </c>
      <c r="M983" s="1" t="s">
        <v>20</v>
      </c>
      <c r="N983" s="5">
        <f>IF(Tabulka1[[#This Row],[E-shop]]="ano",1,0)</f>
        <v>1</v>
      </c>
      <c r="O983" s="5">
        <f>IF(Tabulka1[[#This Row],[Reklamace]]="ano",1,0)</f>
        <v>1</v>
      </c>
    </row>
    <row r="984" spans="1:15" ht="15.75" customHeight="1" x14ac:dyDescent="0.3">
      <c r="A984" s="1">
        <v>117</v>
      </c>
      <c r="B984" s="2">
        <v>45727</v>
      </c>
      <c r="C984" s="1" t="s">
        <v>31</v>
      </c>
      <c r="D984" s="1" t="s">
        <v>27</v>
      </c>
      <c r="E984" s="1">
        <v>1</v>
      </c>
      <c r="F984" s="1">
        <v>4000</v>
      </c>
      <c r="G984" s="1">
        <v>4000</v>
      </c>
      <c r="H984" s="1">
        <v>1065</v>
      </c>
      <c r="I984" s="1" t="s">
        <v>15</v>
      </c>
      <c r="J984" s="1">
        <v>2</v>
      </c>
      <c r="K984" s="1" t="s">
        <v>15</v>
      </c>
      <c r="L984" s="1">
        <v>7</v>
      </c>
      <c r="M984" s="1" t="s">
        <v>20</v>
      </c>
      <c r="N984" s="5">
        <f>IF(Tabulka1[[#This Row],[E-shop]]="ano",1,0)</f>
        <v>0</v>
      </c>
      <c r="O984" s="5">
        <f>IF(Tabulka1[[#This Row],[Reklamace]]="ano",1,0)</f>
        <v>0</v>
      </c>
    </row>
    <row r="985" spans="1:15" ht="15.75" customHeight="1" x14ac:dyDescent="0.3">
      <c r="A985" s="1">
        <v>85</v>
      </c>
      <c r="B985" s="2">
        <v>45942</v>
      </c>
      <c r="C985" s="1" t="s">
        <v>21</v>
      </c>
      <c r="D985" s="1" t="s">
        <v>45</v>
      </c>
      <c r="E985" s="1">
        <v>1</v>
      </c>
      <c r="F985" s="1">
        <v>3500</v>
      </c>
      <c r="G985" s="1">
        <v>3500</v>
      </c>
      <c r="H985" s="1">
        <v>1020</v>
      </c>
      <c r="I985" s="1" t="s">
        <v>16</v>
      </c>
      <c r="J985" s="1">
        <v>2</v>
      </c>
      <c r="K985" s="1" t="s">
        <v>15</v>
      </c>
      <c r="L985" s="1">
        <v>6</v>
      </c>
      <c r="M985" s="1" t="s">
        <v>20</v>
      </c>
      <c r="N985" s="5">
        <f>IF(Tabulka1[[#This Row],[E-shop]]="ano",1,0)</f>
        <v>1</v>
      </c>
      <c r="O985" s="5">
        <f>IF(Tabulka1[[#This Row],[Reklamace]]="ano",1,0)</f>
        <v>0</v>
      </c>
    </row>
    <row r="986" spans="1:15" ht="15.75" customHeight="1" x14ac:dyDescent="0.3">
      <c r="A986" s="1">
        <v>334</v>
      </c>
      <c r="B986" s="2">
        <v>45558</v>
      </c>
      <c r="C986" s="1" t="s">
        <v>25</v>
      </c>
      <c r="D986" s="1" t="s">
        <v>34</v>
      </c>
      <c r="E986" s="1">
        <v>1</v>
      </c>
      <c r="F986" s="1">
        <v>3500</v>
      </c>
      <c r="G986" s="1">
        <v>3500</v>
      </c>
      <c r="H986" s="1">
        <v>875</v>
      </c>
      <c r="I986" s="1" t="s">
        <v>16</v>
      </c>
      <c r="J986" s="1">
        <v>2</v>
      </c>
      <c r="K986" s="1" t="s">
        <v>15</v>
      </c>
      <c r="L986" s="1">
        <v>6</v>
      </c>
      <c r="M986" s="1" t="s">
        <v>20</v>
      </c>
      <c r="N986" s="5">
        <f>IF(Tabulka1[[#This Row],[E-shop]]="ano",1,0)</f>
        <v>1</v>
      </c>
      <c r="O986" s="5">
        <f>IF(Tabulka1[[#This Row],[Reklamace]]="ano",1,0)</f>
        <v>0</v>
      </c>
    </row>
    <row r="987" spans="1:15" ht="15.75" customHeight="1" x14ac:dyDescent="0.3">
      <c r="A987" s="1">
        <v>575</v>
      </c>
      <c r="B987" s="2">
        <v>45770</v>
      </c>
      <c r="C987" s="1" t="s">
        <v>36</v>
      </c>
      <c r="D987" s="1" t="s">
        <v>45</v>
      </c>
      <c r="E987" s="1">
        <v>1</v>
      </c>
      <c r="F987" s="1">
        <v>3500</v>
      </c>
      <c r="G987" s="1">
        <v>3500</v>
      </c>
      <c r="H987" s="1">
        <v>558</v>
      </c>
      <c r="I987" s="1" t="s">
        <v>16</v>
      </c>
      <c r="J987" s="1">
        <v>5</v>
      </c>
      <c r="K987" s="1" t="s">
        <v>16</v>
      </c>
      <c r="L987" s="1">
        <v>3</v>
      </c>
      <c r="M987" s="1" t="s">
        <v>20</v>
      </c>
      <c r="N987" s="5">
        <f>IF(Tabulka1[[#This Row],[E-shop]]="ano",1,0)</f>
        <v>1</v>
      </c>
      <c r="O987" s="5">
        <f>IF(Tabulka1[[#This Row],[Reklamace]]="ano",1,0)</f>
        <v>1</v>
      </c>
    </row>
    <row r="988" spans="1:15" ht="15.75" customHeight="1" x14ac:dyDescent="0.3">
      <c r="A988" s="1">
        <v>667</v>
      </c>
      <c r="B988" s="2">
        <v>45801</v>
      </c>
      <c r="C988" s="1" t="s">
        <v>36</v>
      </c>
      <c r="D988" s="1" t="s">
        <v>34</v>
      </c>
      <c r="E988" s="1">
        <v>1</v>
      </c>
      <c r="F988" s="1">
        <v>3500</v>
      </c>
      <c r="G988" s="1">
        <v>3500</v>
      </c>
      <c r="H988" s="1">
        <v>685</v>
      </c>
      <c r="I988" s="1" t="s">
        <v>15</v>
      </c>
      <c r="J988" s="1">
        <v>1</v>
      </c>
      <c r="K988" s="1" t="s">
        <v>15</v>
      </c>
      <c r="L988" s="1">
        <v>8</v>
      </c>
      <c r="M988" s="1" t="s">
        <v>17</v>
      </c>
      <c r="N988" s="5">
        <f>IF(Tabulka1[[#This Row],[E-shop]]="ano",1,0)</f>
        <v>0</v>
      </c>
      <c r="O988" s="5">
        <f>IF(Tabulka1[[#This Row],[Reklamace]]="ano",1,0)</f>
        <v>0</v>
      </c>
    </row>
    <row r="989" spans="1:15" ht="15.75" customHeight="1" x14ac:dyDescent="0.3">
      <c r="A989" s="1">
        <v>988</v>
      </c>
      <c r="B989" s="2">
        <v>45661</v>
      </c>
      <c r="C989" s="1" t="s">
        <v>13</v>
      </c>
      <c r="D989" s="1" t="s">
        <v>45</v>
      </c>
      <c r="E989" s="1">
        <v>1</v>
      </c>
      <c r="F989" s="1">
        <v>3500</v>
      </c>
      <c r="G989" s="1">
        <v>3500</v>
      </c>
      <c r="H989" s="1">
        <v>788</v>
      </c>
      <c r="I989" s="1" t="s">
        <v>16</v>
      </c>
      <c r="J989" s="1">
        <v>1</v>
      </c>
      <c r="K989" s="1" t="s">
        <v>15</v>
      </c>
      <c r="L989" s="1">
        <v>7</v>
      </c>
      <c r="M989" s="1" t="s">
        <v>20</v>
      </c>
      <c r="N989" s="5">
        <f>IF(Tabulka1[[#This Row],[E-shop]]="ano",1,0)</f>
        <v>1</v>
      </c>
      <c r="O989" s="5">
        <f>IF(Tabulka1[[#This Row],[Reklamace]]="ano",1,0)</f>
        <v>0</v>
      </c>
    </row>
    <row r="990" spans="1:15" ht="15.75" customHeight="1" x14ac:dyDescent="0.3">
      <c r="A990" s="1">
        <v>86</v>
      </c>
      <c r="B990" s="2">
        <v>45383</v>
      </c>
      <c r="C990" s="1" t="s">
        <v>31</v>
      </c>
      <c r="D990" s="1" t="s">
        <v>46</v>
      </c>
      <c r="E990" s="1">
        <v>1</v>
      </c>
      <c r="F990" s="1">
        <v>3000</v>
      </c>
      <c r="G990" s="1">
        <v>3000</v>
      </c>
      <c r="H990" s="1">
        <v>728</v>
      </c>
      <c r="I990" s="1" t="s">
        <v>15</v>
      </c>
      <c r="J990" s="1">
        <v>4</v>
      </c>
      <c r="K990" s="1" t="s">
        <v>16</v>
      </c>
      <c r="L990" s="1">
        <v>4</v>
      </c>
      <c r="M990" s="1" t="s">
        <v>20</v>
      </c>
      <c r="N990" s="5">
        <f>IF(Tabulka1[[#This Row],[E-shop]]="ano",1,0)</f>
        <v>0</v>
      </c>
      <c r="O990" s="5">
        <f>IF(Tabulka1[[#This Row],[Reklamace]]="ano",1,0)</f>
        <v>1</v>
      </c>
    </row>
    <row r="991" spans="1:15" ht="15.75" customHeight="1" x14ac:dyDescent="0.3">
      <c r="A991" s="1">
        <v>710</v>
      </c>
      <c r="B991" s="2">
        <v>46004</v>
      </c>
      <c r="C991" s="1" t="s">
        <v>25</v>
      </c>
      <c r="D991" s="1" t="s">
        <v>46</v>
      </c>
      <c r="E991" s="1">
        <v>1</v>
      </c>
      <c r="F991" s="1">
        <v>3000</v>
      </c>
      <c r="G991" s="1">
        <v>3000</v>
      </c>
      <c r="H991" s="1">
        <v>719</v>
      </c>
      <c r="I991" s="1" t="s">
        <v>16</v>
      </c>
      <c r="J991" s="1">
        <v>4</v>
      </c>
      <c r="K991" s="1" t="s">
        <v>16</v>
      </c>
      <c r="L991" s="1">
        <v>4</v>
      </c>
      <c r="M991" s="1" t="s">
        <v>20</v>
      </c>
      <c r="N991" s="5">
        <f>IF(Tabulka1[[#This Row],[E-shop]]="ano",1,0)</f>
        <v>1</v>
      </c>
      <c r="O991" s="5">
        <f>IF(Tabulka1[[#This Row],[Reklamace]]="ano",1,0)</f>
        <v>1</v>
      </c>
    </row>
    <row r="992" spans="1:15" ht="15.75" customHeight="1" x14ac:dyDescent="0.3">
      <c r="A992" s="1">
        <v>849</v>
      </c>
      <c r="B992" s="2">
        <v>45751</v>
      </c>
      <c r="C992" s="1" t="s">
        <v>18</v>
      </c>
      <c r="D992" s="1" t="s">
        <v>46</v>
      </c>
      <c r="E992" s="1">
        <v>1</v>
      </c>
      <c r="F992" s="1">
        <v>3000</v>
      </c>
      <c r="G992" s="1">
        <v>3000</v>
      </c>
      <c r="H992" s="1">
        <v>775</v>
      </c>
      <c r="I992" s="1" t="s">
        <v>15</v>
      </c>
      <c r="J992" s="1">
        <v>7</v>
      </c>
      <c r="K992" s="1" t="s">
        <v>16</v>
      </c>
      <c r="L992" s="1">
        <v>4</v>
      </c>
      <c r="M992" s="1" t="s">
        <v>20</v>
      </c>
      <c r="N992" s="5">
        <f>IF(Tabulka1[[#This Row],[E-shop]]="ano",1,0)</f>
        <v>0</v>
      </c>
      <c r="O992" s="5">
        <f>IF(Tabulka1[[#This Row],[Reklamace]]="ano",1,0)</f>
        <v>1</v>
      </c>
    </row>
    <row r="993" spans="1:15" ht="15.75" customHeight="1" x14ac:dyDescent="0.3">
      <c r="A993" s="1">
        <v>152</v>
      </c>
      <c r="B993" s="2">
        <v>45719</v>
      </c>
      <c r="C993" s="1" t="s">
        <v>21</v>
      </c>
      <c r="D993" s="1" t="s">
        <v>39</v>
      </c>
      <c r="E993" s="1">
        <v>1</v>
      </c>
      <c r="F993" s="1">
        <v>2500</v>
      </c>
      <c r="G993" s="1">
        <v>2500</v>
      </c>
      <c r="H993" s="1">
        <v>684</v>
      </c>
      <c r="I993" s="1" t="s">
        <v>15</v>
      </c>
      <c r="J993" s="1">
        <v>1</v>
      </c>
      <c r="K993" s="1" t="s">
        <v>16</v>
      </c>
      <c r="L993" s="1">
        <v>7</v>
      </c>
      <c r="M993" s="1" t="s">
        <v>20</v>
      </c>
      <c r="N993" s="5">
        <f>IF(Tabulka1[[#This Row],[E-shop]]="ano",1,0)</f>
        <v>0</v>
      </c>
      <c r="O993" s="5">
        <f>IF(Tabulka1[[#This Row],[Reklamace]]="ano",1,0)</f>
        <v>1</v>
      </c>
    </row>
    <row r="994" spans="1:15" ht="15.75" customHeight="1" x14ac:dyDescent="0.3">
      <c r="A994" s="1">
        <v>195</v>
      </c>
      <c r="B994" s="2">
        <v>45719</v>
      </c>
      <c r="C994" s="1" t="s">
        <v>21</v>
      </c>
      <c r="D994" s="1" t="s">
        <v>39</v>
      </c>
      <c r="E994" s="1">
        <v>1</v>
      </c>
      <c r="F994" s="1">
        <v>2500</v>
      </c>
      <c r="G994" s="1">
        <v>2500</v>
      </c>
      <c r="H994" s="1">
        <v>646</v>
      </c>
      <c r="I994" s="1" t="s">
        <v>16</v>
      </c>
      <c r="J994" s="1">
        <v>3</v>
      </c>
      <c r="K994" s="1" t="s">
        <v>15</v>
      </c>
      <c r="L994" s="1">
        <v>5</v>
      </c>
      <c r="M994" s="1" t="s">
        <v>20</v>
      </c>
      <c r="N994" s="5">
        <f>IF(Tabulka1[[#This Row],[E-shop]]="ano",1,0)</f>
        <v>1</v>
      </c>
      <c r="O994" s="5">
        <f>IF(Tabulka1[[#This Row],[Reklamace]]="ano",1,0)</f>
        <v>0</v>
      </c>
    </row>
    <row r="995" spans="1:15" ht="15.75" customHeight="1" x14ac:dyDescent="0.3">
      <c r="A995" s="1">
        <v>220</v>
      </c>
      <c r="B995" s="2">
        <v>45592</v>
      </c>
      <c r="C995" s="1" t="s">
        <v>23</v>
      </c>
      <c r="D995" s="1" t="s">
        <v>39</v>
      </c>
      <c r="E995" s="1">
        <v>1</v>
      </c>
      <c r="F995" s="1">
        <v>2500</v>
      </c>
      <c r="G995" s="1">
        <v>2500</v>
      </c>
      <c r="H995" s="1">
        <v>439</v>
      </c>
      <c r="I995" s="1" t="s">
        <v>16</v>
      </c>
      <c r="J995" s="1">
        <v>7</v>
      </c>
      <c r="K995" s="1" t="s">
        <v>16</v>
      </c>
      <c r="L995" s="1">
        <v>3</v>
      </c>
      <c r="M995" s="1" t="s">
        <v>20</v>
      </c>
      <c r="N995" s="5">
        <f>IF(Tabulka1[[#This Row],[E-shop]]="ano",1,0)</f>
        <v>1</v>
      </c>
      <c r="O995" s="5">
        <f>IF(Tabulka1[[#This Row],[Reklamace]]="ano",1,0)</f>
        <v>1</v>
      </c>
    </row>
    <row r="996" spans="1:15" ht="15.75" customHeight="1" x14ac:dyDescent="0.3">
      <c r="A996" s="1">
        <v>471</v>
      </c>
      <c r="B996" s="2">
        <v>45991</v>
      </c>
      <c r="C996" s="1" t="s">
        <v>21</v>
      </c>
      <c r="D996" s="1" t="s">
        <v>39</v>
      </c>
      <c r="E996" s="1">
        <v>1</v>
      </c>
      <c r="F996" s="1">
        <v>2500</v>
      </c>
      <c r="G996" s="1">
        <v>2500</v>
      </c>
      <c r="H996" s="1">
        <v>552</v>
      </c>
      <c r="I996" s="1" t="s">
        <v>15</v>
      </c>
      <c r="J996" s="1">
        <v>1</v>
      </c>
      <c r="K996" s="1" t="s">
        <v>15</v>
      </c>
      <c r="L996" s="1">
        <v>8</v>
      </c>
      <c r="M996" s="1" t="s">
        <v>20</v>
      </c>
      <c r="N996" s="5">
        <f>IF(Tabulka1[[#This Row],[E-shop]]="ano",1,0)</f>
        <v>0</v>
      </c>
      <c r="O996" s="5">
        <f>IF(Tabulka1[[#This Row],[Reklamace]]="ano",1,0)</f>
        <v>0</v>
      </c>
    </row>
    <row r="997" spans="1:15" ht="15.75" customHeight="1" x14ac:dyDescent="0.3">
      <c r="A997" s="1">
        <v>565</v>
      </c>
      <c r="B997" s="2">
        <v>45363</v>
      </c>
      <c r="C997" s="1" t="s">
        <v>13</v>
      </c>
      <c r="D997" s="1" t="s">
        <v>39</v>
      </c>
      <c r="E997" s="1">
        <v>1</v>
      </c>
      <c r="F997" s="1">
        <v>2500</v>
      </c>
      <c r="G997" s="1">
        <v>2500</v>
      </c>
      <c r="H997" s="1">
        <v>448</v>
      </c>
      <c r="I997" s="1" t="s">
        <v>15</v>
      </c>
      <c r="J997" s="1">
        <v>5</v>
      </c>
      <c r="K997" s="1" t="s">
        <v>15</v>
      </c>
      <c r="L997" s="1">
        <v>4</v>
      </c>
      <c r="M997" s="1" t="s">
        <v>20</v>
      </c>
      <c r="N997" s="5">
        <f>IF(Tabulka1[[#This Row],[E-shop]]="ano",1,0)</f>
        <v>0</v>
      </c>
      <c r="O997" s="5">
        <f>IF(Tabulka1[[#This Row],[Reklamace]]="ano",1,0)</f>
        <v>0</v>
      </c>
    </row>
    <row r="998" spans="1:15" ht="15.75" customHeight="1" x14ac:dyDescent="0.3">
      <c r="A998" s="1">
        <v>711</v>
      </c>
      <c r="B998" s="2">
        <v>45465</v>
      </c>
      <c r="C998" s="1" t="s">
        <v>31</v>
      </c>
      <c r="D998" s="1" t="s">
        <v>39</v>
      </c>
      <c r="E998" s="1">
        <v>1</v>
      </c>
      <c r="F998" s="1">
        <v>2500</v>
      </c>
      <c r="G998" s="1">
        <v>2500</v>
      </c>
      <c r="H998" s="1">
        <v>549</v>
      </c>
      <c r="I998" s="1" t="s">
        <v>15</v>
      </c>
      <c r="J998" s="1">
        <v>4</v>
      </c>
      <c r="K998" s="1" t="s">
        <v>15</v>
      </c>
      <c r="L998" s="1">
        <v>5</v>
      </c>
      <c r="M998" s="1" t="s">
        <v>20</v>
      </c>
      <c r="N998" s="5">
        <f>IF(Tabulka1[[#This Row],[E-shop]]="ano",1,0)</f>
        <v>0</v>
      </c>
      <c r="O998" s="5">
        <f>IF(Tabulka1[[#This Row],[Reklamace]]="ano",1,0)</f>
        <v>0</v>
      </c>
    </row>
    <row r="999" spans="1:15" ht="15.75" customHeight="1" x14ac:dyDescent="0.3">
      <c r="A999" s="1">
        <v>775</v>
      </c>
      <c r="B999" s="2">
        <v>45333</v>
      </c>
      <c r="C999" s="1" t="s">
        <v>23</v>
      </c>
      <c r="D999" s="1" t="s">
        <v>39</v>
      </c>
      <c r="E999" s="1">
        <v>1</v>
      </c>
      <c r="F999" s="1">
        <v>2500</v>
      </c>
      <c r="G999" s="1">
        <v>2500</v>
      </c>
      <c r="H999" s="1">
        <v>547</v>
      </c>
      <c r="I999" s="1" t="s">
        <v>15</v>
      </c>
      <c r="J999" s="1">
        <v>3</v>
      </c>
      <c r="K999" s="1" t="s">
        <v>16</v>
      </c>
      <c r="L999" s="1">
        <v>7</v>
      </c>
      <c r="M999" s="1" t="s">
        <v>20</v>
      </c>
      <c r="N999" s="5">
        <f>IF(Tabulka1[[#This Row],[E-shop]]="ano",1,0)</f>
        <v>0</v>
      </c>
      <c r="O999" s="5">
        <f>IF(Tabulka1[[#This Row],[Reklamace]]="ano",1,0)</f>
        <v>1</v>
      </c>
    </row>
    <row r="1000" spans="1:15" ht="15.75" customHeight="1" x14ac:dyDescent="0.3">
      <c r="A1000" s="1">
        <v>856</v>
      </c>
      <c r="B1000" s="2">
        <v>45683</v>
      </c>
      <c r="C1000" s="1" t="s">
        <v>18</v>
      </c>
      <c r="D1000" s="1" t="s">
        <v>39</v>
      </c>
      <c r="E1000" s="1">
        <v>1</v>
      </c>
      <c r="F1000" s="1">
        <v>2500</v>
      </c>
      <c r="G1000" s="1">
        <v>2500</v>
      </c>
      <c r="H1000" s="1">
        <v>477</v>
      </c>
      <c r="I1000" s="1" t="s">
        <v>16</v>
      </c>
      <c r="J1000" s="1">
        <v>3</v>
      </c>
      <c r="K1000" s="1" t="s">
        <v>15</v>
      </c>
      <c r="L1000" s="1">
        <v>7</v>
      </c>
      <c r="M1000" s="1" t="s">
        <v>20</v>
      </c>
      <c r="N1000" s="5">
        <f>IF(Tabulka1[[#This Row],[E-shop]]="ano",1,0)</f>
        <v>1</v>
      </c>
      <c r="O1000" s="5">
        <f>IF(Tabulka1[[#This Row],[Reklamace]]="ano",1,0)</f>
        <v>0</v>
      </c>
    </row>
    <row r="1001" spans="1:15" ht="15.75" customHeight="1" x14ac:dyDescent="0.3">
      <c r="A1001" s="1">
        <v>927</v>
      </c>
      <c r="B1001" s="2">
        <v>45937</v>
      </c>
      <c r="C1001" s="1" t="s">
        <v>21</v>
      </c>
      <c r="D1001" s="1" t="s">
        <v>39</v>
      </c>
      <c r="E1001" s="1">
        <v>1</v>
      </c>
      <c r="F1001" s="1">
        <v>2500</v>
      </c>
      <c r="G1001" s="1">
        <v>2500</v>
      </c>
      <c r="H1001" s="1">
        <v>534</v>
      </c>
      <c r="I1001" s="1" t="s">
        <v>15</v>
      </c>
      <c r="J1001" s="1">
        <v>2</v>
      </c>
      <c r="K1001" s="1" t="s">
        <v>15</v>
      </c>
      <c r="L1001" s="1">
        <v>7</v>
      </c>
      <c r="M1001" s="1" t="s">
        <v>17</v>
      </c>
      <c r="N1001" s="5">
        <f>IF(Tabulka1[[#This Row],[E-shop]]="ano",1,0)</f>
        <v>0</v>
      </c>
      <c r="O1001" s="5">
        <f>IF(Tabulka1[[#This Row],[Reklamace]]="ano",1,0)</f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F9DD-7E69-458B-A9DB-69E01C8409C9}">
  <dimension ref="A1:D11"/>
  <sheetViews>
    <sheetView zoomScale="265" zoomScaleNormal="265" workbookViewId="0">
      <selection activeCell="B2" sqref="B2"/>
    </sheetView>
  </sheetViews>
  <sheetFormatPr defaultRowHeight="14.4" x14ac:dyDescent="0.3"/>
  <cols>
    <col min="1" max="1" width="37.44140625" bestFit="1" customWidth="1"/>
    <col min="2" max="2" width="10.21875" customWidth="1"/>
  </cols>
  <sheetData>
    <row r="1" spans="1:4" x14ac:dyDescent="0.3">
      <c r="A1" t="s">
        <v>49</v>
      </c>
      <c r="B1">
        <f>SUM(dataset_prodejny_nabytek!H:H)</f>
        <v>17903692</v>
      </c>
    </row>
    <row r="2" spans="1:4" x14ac:dyDescent="0.3">
      <c r="A2" t="s">
        <v>50</v>
      </c>
      <c r="B2">
        <f>SUM(dataset_prodejny_nabytek!E:E)</f>
        <v>7500</v>
      </c>
    </row>
    <row r="3" spans="1:4" x14ac:dyDescent="0.3">
      <c r="A3" t="s">
        <v>52</v>
      </c>
      <c r="B3">
        <f>AVERAGE(dataset_prodejny_nabytek!E:E)</f>
        <v>7.5</v>
      </c>
    </row>
    <row r="4" spans="1:4" ht="15" customHeight="1" x14ac:dyDescent="0.3">
      <c r="A4" t="s">
        <v>53</v>
      </c>
      <c r="B4">
        <f>_xlfn.VAR.P(dataset_prodejny_nabytek!E:E)</f>
        <v>16.3</v>
      </c>
      <c r="C4">
        <f>_xlfn.VAR.S(dataset_prodejny_nabytek!E:E)</f>
        <v>16.316316316316318</v>
      </c>
    </row>
    <row r="5" spans="1:4" x14ac:dyDescent="0.3">
      <c r="A5" t="s">
        <v>56</v>
      </c>
      <c r="B5">
        <f>_xlfn.STDEV.P(dataset_prodejny_nabytek!E:E)</f>
        <v>4.0373258476372698</v>
      </c>
    </row>
    <row r="6" spans="1:4" x14ac:dyDescent="0.3">
      <c r="A6" t="s">
        <v>54</v>
      </c>
      <c r="B6">
        <f>MIN(dataset_prodejny_nabytek!F:F)</f>
        <v>2500</v>
      </c>
    </row>
    <row r="7" spans="1:4" x14ac:dyDescent="0.3">
      <c r="A7" t="s">
        <v>55</v>
      </c>
      <c r="B7">
        <f>MAX(dataset_prodejny_nabytek!F:F)</f>
        <v>25000</v>
      </c>
    </row>
    <row r="11" spans="1:4" x14ac:dyDescent="0.3">
      <c r="D11">
        <f>SQRT(B4)</f>
        <v>4.0373258476372698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75FB-F6BD-4508-8B14-7DB8BEF8398C}">
  <dimension ref="A1:F26"/>
  <sheetViews>
    <sheetView zoomScale="190" zoomScaleNormal="190" workbookViewId="0">
      <selection activeCell="A16" sqref="A16"/>
    </sheetView>
  </sheetViews>
  <sheetFormatPr defaultRowHeight="14.4" x14ac:dyDescent="0.3"/>
  <cols>
    <col min="1" max="1" width="18.88671875" bestFit="1" customWidth="1"/>
    <col min="2" max="2" width="11.109375" bestFit="1" customWidth="1"/>
    <col min="4" max="4" width="11" customWidth="1"/>
  </cols>
  <sheetData>
    <row r="1" spans="1:4" x14ac:dyDescent="0.3">
      <c r="A1" t="s">
        <v>57</v>
      </c>
      <c r="B1">
        <f>COUNT(dataset_prodejny_nabytek!G:G)</f>
        <v>1000</v>
      </c>
    </row>
    <row r="2" spans="1:4" x14ac:dyDescent="0.3">
      <c r="A2" t="s">
        <v>58</v>
      </c>
      <c r="B2">
        <f>AVERAGE(dataset_prodejny_nabytek!G:G)</f>
        <v>78816</v>
      </c>
      <c r="D2" s="4"/>
    </row>
    <row r="3" spans="1:4" x14ac:dyDescent="0.3">
      <c r="A3" t="s">
        <v>59</v>
      </c>
      <c r="B3">
        <f>MEDIAN(dataset_prodejny_nabytek!G:G)</f>
        <v>60000</v>
      </c>
    </row>
    <row r="4" spans="1:4" x14ac:dyDescent="0.3">
      <c r="A4" t="s">
        <v>60</v>
      </c>
      <c r="B4">
        <f>MAX(dataset_prodejny_nabytek!G:G)</f>
        <v>350000</v>
      </c>
    </row>
    <row r="5" spans="1:4" x14ac:dyDescent="0.3">
      <c r="A5" t="s">
        <v>61</v>
      </c>
      <c r="B5">
        <f>MIN(dataset_prodejny_nabytek!G:G)</f>
        <v>2500</v>
      </c>
    </row>
    <row r="6" spans="1:4" x14ac:dyDescent="0.3">
      <c r="A6" t="s">
        <v>62</v>
      </c>
      <c r="B6">
        <f>_xlfn.STDEV.P(dataset_prodejny_nabytek!G:G)</f>
        <v>67177.512189720161</v>
      </c>
    </row>
    <row r="7" spans="1:4" x14ac:dyDescent="0.3">
      <c r="A7" t="s">
        <v>51</v>
      </c>
      <c r="B7">
        <f>_xlfn.VAR.P(dataset_prodejny_nabytek!G:G)</f>
        <v>4512818144</v>
      </c>
    </row>
    <row r="8" spans="1:4" x14ac:dyDescent="0.3">
      <c r="A8" t="s">
        <v>63</v>
      </c>
      <c r="B8">
        <f>_xlfn.QUARTILE.INC(dataset_prodejny_nabytek!G:G,1)</f>
        <v>30000</v>
      </c>
    </row>
    <row r="9" spans="1:4" x14ac:dyDescent="0.3">
      <c r="A9" t="s">
        <v>64</v>
      </c>
      <c r="B9">
        <f>_xlfn.QUARTILE.INC(dataset_prodejny_nabytek!G:G,3)</f>
        <v>108000</v>
      </c>
    </row>
    <row r="10" spans="1:4" x14ac:dyDescent="0.3">
      <c r="A10" t="s">
        <v>65</v>
      </c>
      <c r="B10">
        <f>_xlfn.PERCENTILE.INC(dataset_prodejny_nabytek!G:G,0.95)</f>
        <v>220000</v>
      </c>
    </row>
    <row r="11" spans="1:4" x14ac:dyDescent="0.3">
      <c r="A11" t="s">
        <v>66</v>
      </c>
      <c r="B11">
        <f>B9-B8</f>
        <v>78000</v>
      </c>
    </row>
    <row r="26" spans="6:6" x14ac:dyDescent="0.3">
      <c r="F26" t="e" cm="1">
        <f t="array" ref="F26">COUNT</f>
        <v>#NAME?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138C-9F53-4419-9CF3-9AE00E35B39E}">
  <dimension ref="A1:B2"/>
  <sheetViews>
    <sheetView zoomScale="190" zoomScaleNormal="190" workbookViewId="0">
      <selection activeCell="D3" sqref="D3"/>
    </sheetView>
  </sheetViews>
  <sheetFormatPr defaultRowHeight="14.4" x14ac:dyDescent="0.3"/>
  <cols>
    <col min="1" max="1" width="24" bestFit="1" customWidth="1"/>
  </cols>
  <sheetData>
    <row r="1" spans="1:2" x14ac:dyDescent="0.3">
      <c r="A1" t="s">
        <v>67</v>
      </c>
      <c r="B1">
        <f>CORREL(dataset_prodejny_nabytek!E:E,dataset_prodejny_nabytek!G:G)</f>
        <v>0.64046013231898813</v>
      </c>
    </row>
    <row r="2" spans="1:2" x14ac:dyDescent="0.3">
      <c r="A2" t="s">
        <v>68</v>
      </c>
      <c r="B2">
        <f>CORREL(dataset_prodejny_nabytek!G:G,dataset_prodejny_nabytek!H:H)</f>
        <v>0.95989066164613246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496C-E589-4969-850A-E91B444A6F1F}">
  <dimension ref="B3:P50"/>
  <sheetViews>
    <sheetView topLeftCell="D1" zoomScale="85" zoomScaleNormal="85" workbookViewId="0">
      <selection activeCell="P34" sqref="P34"/>
    </sheetView>
  </sheetViews>
  <sheetFormatPr defaultRowHeight="14.4" x14ac:dyDescent="0.3"/>
  <cols>
    <col min="2" max="2" width="15.109375" bestFit="1" customWidth="1"/>
    <col min="3" max="3" width="22" bestFit="1" customWidth="1"/>
    <col min="4" max="12" width="5" bestFit="1" customWidth="1"/>
    <col min="13" max="14" width="6" bestFit="1" customWidth="1"/>
    <col min="15" max="15" width="22.33203125" bestFit="1" customWidth="1"/>
    <col min="16" max="16" width="22" bestFit="1" customWidth="1"/>
    <col min="17" max="71" width="6" bestFit="1" customWidth="1"/>
    <col min="72" max="117" width="7" bestFit="1" customWidth="1"/>
    <col min="118" max="118" width="13.77734375" bestFit="1" customWidth="1"/>
  </cols>
  <sheetData>
    <row r="3" spans="2:3" x14ac:dyDescent="0.3">
      <c r="B3" s="6" t="s">
        <v>71</v>
      </c>
      <c r="C3" t="s">
        <v>74</v>
      </c>
    </row>
    <row r="4" spans="2:3" x14ac:dyDescent="0.3">
      <c r="B4" s="7" t="s">
        <v>18</v>
      </c>
      <c r="C4" s="8">
        <v>11622500</v>
      </c>
    </row>
    <row r="5" spans="2:3" x14ac:dyDescent="0.3">
      <c r="B5" s="7" t="s">
        <v>31</v>
      </c>
      <c r="C5" s="8">
        <v>13275500</v>
      </c>
    </row>
    <row r="6" spans="2:3" x14ac:dyDescent="0.3">
      <c r="B6" s="7" t="s">
        <v>36</v>
      </c>
      <c r="C6" s="8">
        <v>10231500</v>
      </c>
    </row>
    <row r="7" spans="2:3" x14ac:dyDescent="0.3">
      <c r="B7" s="7" t="s">
        <v>23</v>
      </c>
      <c r="C7" s="8">
        <v>12256500</v>
      </c>
    </row>
    <row r="8" spans="2:3" x14ac:dyDescent="0.3">
      <c r="B8" s="7" t="s">
        <v>13</v>
      </c>
      <c r="C8" s="8">
        <v>9878000</v>
      </c>
    </row>
    <row r="9" spans="2:3" x14ac:dyDescent="0.3">
      <c r="B9" s="7" t="s">
        <v>25</v>
      </c>
      <c r="C9" s="8">
        <v>10018500</v>
      </c>
    </row>
    <row r="10" spans="2:3" x14ac:dyDescent="0.3">
      <c r="B10" s="7" t="s">
        <v>21</v>
      </c>
      <c r="C10" s="8">
        <v>11533500</v>
      </c>
    </row>
    <row r="11" spans="2:3" x14ac:dyDescent="0.3">
      <c r="B11" s="7" t="s">
        <v>72</v>
      </c>
      <c r="C11" s="8">
        <v>78816000</v>
      </c>
    </row>
    <row r="24" spans="15:16" x14ac:dyDescent="0.3">
      <c r="O24" s="6" t="s">
        <v>71</v>
      </c>
      <c r="P24" t="s">
        <v>74</v>
      </c>
    </row>
    <row r="25" spans="15:16" x14ac:dyDescent="0.3">
      <c r="O25" s="7" t="s">
        <v>35</v>
      </c>
      <c r="P25" s="8">
        <v>5532000</v>
      </c>
    </row>
    <row r="26" spans="15:16" x14ac:dyDescent="0.3">
      <c r="O26" s="7" t="s">
        <v>44</v>
      </c>
      <c r="P26" s="8">
        <v>2690000</v>
      </c>
    </row>
    <row r="27" spans="15:16" x14ac:dyDescent="0.3">
      <c r="O27" s="7" t="s">
        <v>43</v>
      </c>
      <c r="P27" s="8">
        <v>1551000</v>
      </c>
    </row>
    <row r="28" spans="15:16" x14ac:dyDescent="0.3">
      <c r="O28" s="7" t="s">
        <v>41</v>
      </c>
      <c r="P28" s="8">
        <v>1755000</v>
      </c>
    </row>
    <row r="29" spans="15:16" x14ac:dyDescent="0.3">
      <c r="O29" s="7" t="s">
        <v>37</v>
      </c>
      <c r="P29" s="8">
        <v>2009000</v>
      </c>
    </row>
    <row r="30" spans="15:16" x14ac:dyDescent="0.3">
      <c r="O30" s="7" t="s">
        <v>30</v>
      </c>
      <c r="P30" s="8">
        <v>2200000</v>
      </c>
    </row>
    <row r="31" spans="15:16" x14ac:dyDescent="0.3">
      <c r="O31" s="7" t="s">
        <v>14</v>
      </c>
      <c r="P31" s="8">
        <v>3792000</v>
      </c>
    </row>
    <row r="32" spans="15:16" x14ac:dyDescent="0.3">
      <c r="O32" s="7" t="s">
        <v>47</v>
      </c>
      <c r="P32" s="8">
        <v>8475000</v>
      </c>
    </row>
    <row r="33" spans="15:16" x14ac:dyDescent="0.3">
      <c r="O33" s="7" t="s">
        <v>22</v>
      </c>
      <c r="P33" s="8">
        <v>5115000</v>
      </c>
    </row>
    <row r="34" spans="15:16" x14ac:dyDescent="0.3">
      <c r="O34" s="7" t="s">
        <v>46</v>
      </c>
      <c r="P34" s="8">
        <v>591000</v>
      </c>
    </row>
    <row r="35" spans="15:16" x14ac:dyDescent="0.3">
      <c r="O35" s="7" t="s">
        <v>45</v>
      </c>
      <c r="P35" s="8">
        <v>1218000</v>
      </c>
    </row>
    <row r="36" spans="15:16" x14ac:dyDescent="0.3">
      <c r="O36" s="7" t="s">
        <v>29</v>
      </c>
      <c r="P36" s="8">
        <v>4180000</v>
      </c>
    </row>
    <row r="37" spans="15:16" x14ac:dyDescent="0.3">
      <c r="O37" s="7" t="s">
        <v>38</v>
      </c>
      <c r="P37" s="8">
        <v>3267000</v>
      </c>
    </row>
    <row r="38" spans="15:16" x14ac:dyDescent="0.3">
      <c r="O38" s="7" t="s">
        <v>26</v>
      </c>
      <c r="P38" s="8">
        <v>4080000</v>
      </c>
    </row>
    <row r="39" spans="15:16" x14ac:dyDescent="0.3">
      <c r="O39" s="7" t="s">
        <v>33</v>
      </c>
      <c r="P39" s="8">
        <v>1932000</v>
      </c>
    </row>
    <row r="40" spans="15:16" x14ac:dyDescent="0.3">
      <c r="O40" s="7" t="s">
        <v>48</v>
      </c>
      <c r="P40" s="8">
        <v>8624000</v>
      </c>
    </row>
    <row r="41" spans="15:16" x14ac:dyDescent="0.3">
      <c r="O41" s="7" t="s">
        <v>28</v>
      </c>
      <c r="P41" s="8">
        <v>5580000</v>
      </c>
    </row>
    <row r="42" spans="15:16" x14ac:dyDescent="0.3">
      <c r="O42" s="7" t="s">
        <v>27</v>
      </c>
      <c r="P42" s="8">
        <v>1196000</v>
      </c>
    </row>
    <row r="43" spans="15:16" x14ac:dyDescent="0.3">
      <c r="O43" s="7" t="s">
        <v>42</v>
      </c>
      <c r="P43" s="8">
        <v>1904000</v>
      </c>
    </row>
    <row r="44" spans="15:16" x14ac:dyDescent="0.3">
      <c r="O44" s="7" t="s">
        <v>32</v>
      </c>
      <c r="P44" s="8">
        <v>3140000</v>
      </c>
    </row>
    <row r="45" spans="15:16" x14ac:dyDescent="0.3">
      <c r="O45" s="7" t="s">
        <v>19</v>
      </c>
      <c r="P45" s="8">
        <v>2331000</v>
      </c>
    </row>
    <row r="46" spans="15:16" x14ac:dyDescent="0.3">
      <c r="O46" s="7" t="s">
        <v>40</v>
      </c>
      <c r="P46" s="8">
        <v>3892000</v>
      </c>
    </row>
    <row r="47" spans="15:16" x14ac:dyDescent="0.3">
      <c r="O47" s="7" t="s">
        <v>39</v>
      </c>
      <c r="P47" s="8">
        <v>657500</v>
      </c>
    </row>
    <row r="48" spans="15:16" x14ac:dyDescent="0.3">
      <c r="O48" s="7" t="s">
        <v>24</v>
      </c>
      <c r="P48" s="8">
        <v>2331000</v>
      </c>
    </row>
    <row r="49" spans="15:16" x14ac:dyDescent="0.3">
      <c r="O49" s="7" t="s">
        <v>34</v>
      </c>
      <c r="P49" s="8">
        <v>773500</v>
      </c>
    </row>
    <row r="50" spans="15:16" x14ac:dyDescent="0.3">
      <c r="O50" s="7" t="s">
        <v>72</v>
      </c>
      <c r="P50" s="8">
        <v>78816000</v>
      </c>
    </row>
  </sheetData>
  <pageMargins left="0.7" right="0.7" top="0.78740157499999996" bottom="0.78740157499999996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41F4-F19E-48DF-B616-8BDCAB8C1B5F}">
  <dimension ref="A1:I39"/>
  <sheetViews>
    <sheetView zoomScaleNormal="100" workbookViewId="0">
      <selection activeCell="J22" sqref="J22"/>
    </sheetView>
  </sheetViews>
  <sheetFormatPr defaultRowHeight="14.4" x14ac:dyDescent="0.3"/>
  <cols>
    <col min="1" max="1" width="32.33203125" bestFit="1" customWidth="1"/>
    <col min="2" max="2" width="15.21875" bestFit="1" customWidth="1"/>
    <col min="3" max="3" width="17.109375" bestFit="1" customWidth="1"/>
    <col min="4" max="4" width="25.44140625" bestFit="1" customWidth="1"/>
    <col min="8" max="8" width="15.21875" bestFit="1" customWidth="1"/>
    <col min="9" max="9" width="22.33203125" bestFit="1" customWidth="1"/>
  </cols>
  <sheetData>
    <row r="1" spans="1:2" x14ac:dyDescent="0.3">
      <c r="A1" t="s">
        <v>75</v>
      </c>
      <c r="B1">
        <f>CORREL(dataset_prodejny_nabytek!J:J,dataset_prodejny_nabytek!L:L)</f>
        <v>-0.88491059944487671</v>
      </c>
    </row>
    <row r="2" spans="1:2" x14ac:dyDescent="0.3">
      <c r="A2" t="s">
        <v>76</v>
      </c>
      <c r="B2">
        <f>CORREL(dataset_prodejny_nabytek!E:E,dataset_prodejny_nabytek!O:O)</f>
        <v>0.2120633217485717</v>
      </c>
    </row>
    <row r="3" spans="1:2" x14ac:dyDescent="0.3">
      <c r="A3" t="s">
        <v>77</v>
      </c>
      <c r="B3">
        <f>CORREL(dataset_prodejny_nabytek!F:F,dataset_prodejny_nabytek!G:G)</f>
        <v>0.69659528611239241</v>
      </c>
    </row>
    <row r="4" spans="1:2" x14ac:dyDescent="0.3">
      <c r="A4" t="s">
        <v>68</v>
      </c>
      <c r="B4">
        <f>CORREL(dataset_prodejny_nabytek!G:G,dataset_prodejny_nabytek!H:H)</f>
        <v>0.95989066164613246</v>
      </c>
    </row>
    <row r="5" spans="1:2" x14ac:dyDescent="0.3">
      <c r="A5" t="s">
        <v>78</v>
      </c>
      <c r="B5">
        <f>CORREL(dataset_prodejny_nabytek!N:N,dataset_prodejny_nabytek!G:G)</f>
        <v>4.0025475015036581E-2</v>
      </c>
    </row>
    <row r="17" spans="2:9" x14ac:dyDescent="0.3">
      <c r="H17" s="6" t="s">
        <v>71</v>
      </c>
      <c r="I17" t="s">
        <v>74</v>
      </c>
    </row>
    <row r="18" spans="2:9" x14ac:dyDescent="0.3">
      <c r="H18" s="7" t="s">
        <v>15</v>
      </c>
      <c r="I18" s="8">
        <v>50426000</v>
      </c>
    </row>
    <row r="19" spans="2:9" x14ac:dyDescent="0.3">
      <c r="H19" s="7" t="s">
        <v>16</v>
      </c>
      <c r="I19" s="8">
        <v>28390000</v>
      </c>
    </row>
    <row r="20" spans="2:9" x14ac:dyDescent="0.3">
      <c r="H20" s="7" t="s">
        <v>72</v>
      </c>
      <c r="I20" s="8">
        <v>78816000</v>
      </c>
    </row>
    <row r="31" spans="2:9" x14ac:dyDescent="0.3">
      <c r="B31" s="6" t="s">
        <v>71</v>
      </c>
      <c r="C31" t="s">
        <v>80</v>
      </c>
      <c r="D31" t="s">
        <v>79</v>
      </c>
    </row>
    <row r="32" spans="2:9" x14ac:dyDescent="0.3">
      <c r="B32" s="7" t="s">
        <v>18</v>
      </c>
      <c r="C32" s="8">
        <v>147</v>
      </c>
      <c r="D32" s="8">
        <v>59</v>
      </c>
    </row>
    <row r="33" spans="2:4" x14ac:dyDescent="0.3">
      <c r="B33" s="7" t="s">
        <v>31</v>
      </c>
      <c r="C33" s="8">
        <v>160</v>
      </c>
      <c r="D33" s="8">
        <v>78</v>
      </c>
    </row>
    <row r="34" spans="2:4" x14ac:dyDescent="0.3">
      <c r="B34" s="7" t="s">
        <v>36</v>
      </c>
      <c r="C34" s="8">
        <v>132</v>
      </c>
      <c r="D34" s="8">
        <v>42</v>
      </c>
    </row>
    <row r="35" spans="2:4" x14ac:dyDescent="0.3">
      <c r="B35" s="7" t="s">
        <v>23</v>
      </c>
      <c r="C35" s="8">
        <v>150</v>
      </c>
      <c r="D35" s="8">
        <v>63</v>
      </c>
    </row>
    <row r="36" spans="2:4" x14ac:dyDescent="0.3">
      <c r="B36" s="7" t="s">
        <v>13</v>
      </c>
      <c r="C36" s="8">
        <v>139</v>
      </c>
      <c r="D36" s="8">
        <v>63</v>
      </c>
    </row>
    <row r="37" spans="2:4" x14ac:dyDescent="0.3">
      <c r="B37" s="7" t="s">
        <v>25</v>
      </c>
      <c r="C37" s="8">
        <v>131</v>
      </c>
      <c r="D37" s="8">
        <v>54</v>
      </c>
    </row>
    <row r="38" spans="2:4" x14ac:dyDescent="0.3">
      <c r="B38" s="7" t="s">
        <v>21</v>
      </c>
      <c r="C38" s="8">
        <v>141</v>
      </c>
      <c r="D38" s="8">
        <v>57</v>
      </c>
    </row>
    <row r="39" spans="2:4" x14ac:dyDescent="0.3">
      <c r="B39" s="7" t="s">
        <v>72</v>
      </c>
      <c r="C39" s="8">
        <v>1000</v>
      </c>
      <c r="D39" s="8">
        <v>416</v>
      </c>
    </row>
  </sheetData>
  <conditionalFormatting sqref="B1:B5">
    <cfRule type="colorScale" priority="1">
      <colorScale>
        <cfvo type="num" val="-1"/>
        <cfvo type="num" val="0"/>
        <cfvo type="num" val="1"/>
        <color theme="4"/>
        <color theme="2"/>
        <color theme="5"/>
      </colorScale>
    </cfRule>
  </conditionalFormatting>
  <pageMargins left="0.7" right="0.7" top="0.78740157499999996" bottom="0.78740157499999996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B789-04D4-4FBE-B49A-9E97B2CE55C3}">
  <dimension ref="A1:C22"/>
  <sheetViews>
    <sheetView zoomScale="130" zoomScaleNormal="130" workbookViewId="0">
      <selection activeCell="M20" sqref="M20"/>
    </sheetView>
  </sheetViews>
  <sheetFormatPr defaultRowHeight="14.4" x14ac:dyDescent="0.3"/>
  <cols>
    <col min="1" max="1" width="13.44140625" bestFit="1" customWidth="1"/>
    <col min="2" max="2" width="15.109375" bestFit="1" customWidth="1"/>
    <col min="3" max="3" width="19.6640625" bestFit="1" customWidth="1"/>
  </cols>
  <sheetData>
    <row r="1" spans="1:3" x14ac:dyDescent="0.3">
      <c r="A1" t="s">
        <v>2</v>
      </c>
      <c r="B1" t="s">
        <v>81</v>
      </c>
      <c r="C1" t="s">
        <v>82</v>
      </c>
    </row>
    <row r="2" spans="1:3" x14ac:dyDescent="0.3">
      <c r="A2" t="str" cm="1">
        <f t="array" ref="A2:A8">_xlfn.UNIQUE(Tabulka1[Prodejna])</f>
        <v>Praha</v>
      </c>
      <c r="B2" cm="1">
        <f t="array" ref="B2:B8">AVERAGEIF(dataset_prodejny_nabytek!C:C,_xlfn.ANCHORARRAY(A2),dataset_prodejny_nabytek!L:L)</f>
        <v>4.5602836879432624</v>
      </c>
      <c r="C2" cm="1">
        <f t="array" ref="C2:C8">AVERAGEIF(dataset_prodejny_nabytek!C:C,_xlfn.ANCHORARRAY(A2),dataset_prodejny_nabytek!J:J)</f>
        <v>4.8794326241134751</v>
      </c>
    </row>
    <row r="3" spans="1:3" x14ac:dyDescent="0.3">
      <c r="A3" t="str">
        <v>Plzeň</v>
      </c>
      <c r="B3">
        <v>4.3587786259541987</v>
      </c>
      <c r="C3">
        <v>5.1221374045801529</v>
      </c>
    </row>
    <row r="4" spans="1:3" x14ac:dyDescent="0.3">
      <c r="A4" t="str">
        <v>Brno</v>
      </c>
      <c r="B4">
        <v>4.3741496598639458</v>
      </c>
      <c r="C4">
        <v>5.2312925170068025</v>
      </c>
    </row>
    <row r="5" spans="1:3" x14ac:dyDescent="0.3">
      <c r="A5" t="str">
        <v>Liberec</v>
      </c>
      <c r="B5">
        <v>4.416666666666667</v>
      </c>
      <c r="C5">
        <v>5.0075757575757578</v>
      </c>
    </row>
    <row r="6" spans="1:3" x14ac:dyDescent="0.3">
      <c r="A6" t="str">
        <v>Olomouc</v>
      </c>
      <c r="B6">
        <v>4.4733333333333336</v>
      </c>
      <c r="C6">
        <v>5.0199999999999996</v>
      </c>
    </row>
    <row r="7" spans="1:3" x14ac:dyDescent="0.3">
      <c r="A7" t="str">
        <v>Ostrava</v>
      </c>
      <c r="B7">
        <v>4.1582733812949639</v>
      </c>
      <c r="C7">
        <v>5.3165467625899279</v>
      </c>
    </row>
    <row r="8" spans="1:3" x14ac:dyDescent="0.3">
      <c r="A8" t="str">
        <v>Hradec Králové</v>
      </c>
      <c r="B8">
        <v>4.3250000000000002</v>
      </c>
      <c r="C8">
        <v>5.2937500000000002</v>
      </c>
    </row>
    <row r="19" spans="2:3" x14ac:dyDescent="0.3">
      <c r="B19" s="6" t="s">
        <v>71</v>
      </c>
      <c r="C19" t="s">
        <v>83</v>
      </c>
    </row>
    <row r="20" spans="2:3" x14ac:dyDescent="0.3">
      <c r="B20" s="7" t="s">
        <v>15</v>
      </c>
      <c r="C20" s="8">
        <v>5.4058219178082192</v>
      </c>
    </row>
    <row r="21" spans="2:3" x14ac:dyDescent="0.3">
      <c r="B21" s="7" t="s">
        <v>16</v>
      </c>
      <c r="C21" s="8">
        <v>2.9423076923076925</v>
      </c>
    </row>
    <row r="22" spans="2:3" x14ac:dyDescent="0.3">
      <c r="B22" s="7" t="s">
        <v>72</v>
      </c>
      <c r="C22" s="8">
        <v>4.3810000000000002</v>
      </c>
    </row>
  </sheetData>
  <pageMargins left="0.7" right="0.7" top="0.78740157499999996" bottom="0.78740157499999996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5B7-4BD9-401E-B148-1D14FFB890FE}">
  <dimension ref="A1:AA33"/>
  <sheetViews>
    <sheetView zoomScale="145" zoomScaleNormal="145" workbookViewId="0">
      <selection activeCell="F30" sqref="F30"/>
    </sheetView>
  </sheetViews>
  <sheetFormatPr defaultRowHeight="14.4" x14ac:dyDescent="0.3"/>
  <cols>
    <col min="1" max="1" width="15.109375" bestFit="1" customWidth="1"/>
    <col min="2" max="2" width="17.44140625" bestFit="1" customWidth="1"/>
    <col min="3" max="3" width="25" bestFit="1" customWidth="1"/>
    <col min="4" max="4" width="16.77734375" bestFit="1" customWidth="1"/>
    <col min="5" max="5" width="18.77734375" bestFit="1" customWidth="1"/>
    <col min="6" max="6" width="20.88671875" bestFit="1" customWidth="1"/>
    <col min="7" max="7" width="13.6640625" bestFit="1" customWidth="1"/>
    <col min="8" max="8" width="11.109375" bestFit="1" customWidth="1"/>
    <col min="9" max="9" width="15.33203125" bestFit="1" customWidth="1"/>
    <col min="10" max="10" width="15.77734375" bestFit="1" customWidth="1"/>
    <col min="11" max="11" width="15.5546875" bestFit="1" customWidth="1"/>
    <col min="12" max="12" width="14" bestFit="1" customWidth="1"/>
    <col min="13" max="13" width="15.6640625" bestFit="1" customWidth="1"/>
    <col min="14" max="14" width="12.21875" bestFit="1" customWidth="1"/>
    <col min="15" max="15" width="13.6640625" bestFit="1" customWidth="1"/>
    <col min="16" max="16" width="12.33203125" bestFit="1" customWidth="1"/>
    <col min="17" max="17" width="12.88671875" bestFit="1" customWidth="1"/>
    <col min="18" max="18" width="9.88671875" bestFit="1" customWidth="1"/>
    <col min="19" max="19" width="13.44140625" bestFit="1" customWidth="1"/>
    <col min="20" max="20" width="9.88671875" bestFit="1" customWidth="1"/>
    <col min="21" max="21" width="10" bestFit="1" customWidth="1"/>
    <col min="22" max="22" width="8.6640625" bestFit="1" customWidth="1"/>
    <col min="23" max="23" width="16" bestFit="1" customWidth="1"/>
    <col min="24" max="24" width="11.6640625" bestFit="1" customWidth="1"/>
    <col min="25" max="25" width="9.88671875" bestFit="1" customWidth="1"/>
    <col min="26" max="26" width="11.77734375" bestFit="1" customWidth="1"/>
    <col min="27" max="27" width="13.77734375" bestFit="1" customWidth="1"/>
  </cols>
  <sheetData>
    <row r="1" spans="1:27" x14ac:dyDescent="0.3">
      <c r="A1" s="6" t="s">
        <v>84</v>
      </c>
      <c r="B1" s="6" t="s">
        <v>73</v>
      </c>
    </row>
    <row r="2" spans="1:27" x14ac:dyDescent="0.3">
      <c r="A2" s="6" t="s">
        <v>71</v>
      </c>
      <c r="B2" t="s">
        <v>35</v>
      </c>
      <c r="C2" t="s">
        <v>44</v>
      </c>
      <c r="D2" t="s">
        <v>43</v>
      </c>
      <c r="E2" t="s">
        <v>41</v>
      </c>
      <c r="F2" t="s">
        <v>37</v>
      </c>
      <c r="G2" t="s">
        <v>30</v>
      </c>
      <c r="H2" t="s">
        <v>14</v>
      </c>
      <c r="I2" t="s">
        <v>47</v>
      </c>
      <c r="J2" t="s">
        <v>22</v>
      </c>
      <c r="K2" t="s">
        <v>46</v>
      </c>
      <c r="L2" t="s">
        <v>45</v>
      </c>
      <c r="M2" t="s">
        <v>29</v>
      </c>
      <c r="N2" t="s">
        <v>38</v>
      </c>
      <c r="O2" t="s">
        <v>26</v>
      </c>
      <c r="P2" t="s">
        <v>33</v>
      </c>
      <c r="Q2" t="s">
        <v>48</v>
      </c>
      <c r="R2" t="s">
        <v>28</v>
      </c>
      <c r="S2" t="s">
        <v>27</v>
      </c>
      <c r="T2" t="s">
        <v>42</v>
      </c>
      <c r="U2" t="s">
        <v>32</v>
      </c>
      <c r="V2" t="s">
        <v>19</v>
      </c>
      <c r="W2" t="s">
        <v>40</v>
      </c>
      <c r="X2" t="s">
        <v>39</v>
      </c>
      <c r="Y2" t="s">
        <v>24</v>
      </c>
      <c r="Z2" t="s">
        <v>34</v>
      </c>
      <c r="AA2" t="s">
        <v>72</v>
      </c>
    </row>
    <row r="3" spans="1:27" x14ac:dyDescent="0.3">
      <c r="A3" s="7" t="s">
        <v>18</v>
      </c>
      <c r="B3" s="8">
        <v>9</v>
      </c>
      <c r="C3" s="8">
        <v>6</v>
      </c>
      <c r="D3" s="8">
        <v>6</v>
      </c>
      <c r="E3" s="8">
        <v>8</v>
      </c>
      <c r="F3" s="8">
        <v>5</v>
      </c>
      <c r="G3" s="8">
        <v>6</v>
      </c>
      <c r="H3" s="8">
        <v>4</v>
      </c>
      <c r="I3" s="8">
        <v>7</v>
      </c>
      <c r="J3" s="8">
        <v>1</v>
      </c>
      <c r="K3" s="8">
        <v>5</v>
      </c>
      <c r="L3" s="8">
        <v>7</v>
      </c>
      <c r="M3" s="8">
        <v>4</v>
      </c>
      <c r="N3" s="8">
        <v>8</v>
      </c>
      <c r="O3" s="8">
        <v>8</v>
      </c>
      <c r="P3" s="8">
        <v>4</v>
      </c>
      <c r="Q3" s="8">
        <v>4</v>
      </c>
      <c r="R3" s="8">
        <v>9</v>
      </c>
      <c r="S3" s="8">
        <v>3</v>
      </c>
      <c r="T3" s="8">
        <v>4</v>
      </c>
      <c r="U3" s="8">
        <v>7</v>
      </c>
      <c r="V3" s="8">
        <v>9</v>
      </c>
      <c r="W3" s="8">
        <v>7</v>
      </c>
      <c r="X3" s="8">
        <v>6</v>
      </c>
      <c r="Y3" s="8">
        <v>5</v>
      </c>
      <c r="Z3" s="8">
        <v>5</v>
      </c>
      <c r="AA3" s="8">
        <v>147</v>
      </c>
    </row>
    <row r="4" spans="1:27" x14ac:dyDescent="0.3">
      <c r="A4" s="7" t="s">
        <v>31</v>
      </c>
      <c r="B4" s="8">
        <v>14</v>
      </c>
      <c r="C4" s="8">
        <v>4</v>
      </c>
      <c r="D4" s="8">
        <v>1</v>
      </c>
      <c r="E4" s="8">
        <v>8</v>
      </c>
      <c r="F4" s="8">
        <v>5</v>
      </c>
      <c r="G4" s="8">
        <v>6</v>
      </c>
      <c r="H4" s="8">
        <v>7</v>
      </c>
      <c r="I4" s="8">
        <v>8</v>
      </c>
      <c r="J4" s="8">
        <v>4</v>
      </c>
      <c r="K4" s="8">
        <v>3</v>
      </c>
      <c r="L4" s="8">
        <v>4</v>
      </c>
      <c r="M4" s="8">
        <v>8</v>
      </c>
      <c r="N4" s="8">
        <v>5</v>
      </c>
      <c r="O4" s="8">
        <v>9</v>
      </c>
      <c r="P4" s="8">
        <v>10</v>
      </c>
      <c r="Q4" s="8">
        <v>10</v>
      </c>
      <c r="R4" s="8">
        <v>6</v>
      </c>
      <c r="S4" s="8">
        <v>6</v>
      </c>
      <c r="T4" s="8">
        <v>7</v>
      </c>
      <c r="U4" s="8">
        <v>5</v>
      </c>
      <c r="V4" s="8">
        <v>6</v>
      </c>
      <c r="W4" s="8">
        <v>5</v>
      </c>
      <c r="X4" s="8">
        <v>7</v>
      </c>
      <c r="Y4" s="8">
        <v>6</v>
      </c>
      <c r="Z4" s="8">
        <v>6</v>
      </c>
      <c r="AA4" s="8">
        <v>160</v>
      </c>
    </row>
    <row r="5" spans="1:27" x14ac:dyDescent="0.3">
      <c r="A5" s="7" t="s">
        <v>36</v>
      </c>
      <c r="B5" s="8">
        <v>9</v>
      </c>
      <c r="C5" s="8">
        <v>5</v>
      </c>
      <c r="D5" s="8">
        <v>5</v>
      </c>
      <c r="E5" s="8">
        <v>5</v>
      </c>
      <c r="F5" s="8">
        <v>8</v>
      </c>
      <c r="G5" s="8">
        <v>7</v>
      </c>
      <c r="H5" s="8">
        <v>10</v>
      </c>
      <c r="I5" s="8">
        <v>4</v>
      </c>
      <c r="J5" s="8">
        <v>4</v>
      </c>
      <c r="K5" s="8">
        <v>5</v>
      </c>
      <c r="L5" s="8">
        <v>4</v>
      </c>
      <c r="M5" s="8">
        <v>3</v>
      </c>
      <c r="N5" s="8">
        <v>9</v>
      </c>
      <c r="O5" s="8">
        <v>8</v>
      </c>
      <c r="P5" s="8">
        <v>3</v>
      </c>
      <c r="Q5" s="8">
        <v>7</v>
      </c>
      <c r="R5" s="8">
        <v>5</v>
      </c>
      <c r="S5" s="8">
        <v>5</v>
      </c>
      <c r="T5" s="8">
        <v>3</v>
      </c>
      <c r="U5" s="8">
        <v>6</v>
      </c>
      <c r="V5" s="8">
        <v>1</v>
      </c>
      <c r="W5" s="8">
        <v>6</v>
      </c>
      <c r="X5" s="8">
        <v>4</v>
      </c>
      <c r="Y5" s="8">
        <v>4</v>
      </c>
      <c r="Z5" s="8">
        <v>2</v>
      </c>
      <c r="AA5" s="8">
        <v>132</v>
      </c>
    </row>
    <row r="6" spans="1:27" x14ac:dyDescent="0.3">
      <c r="A6" s="7" t="s">
        <v>23</v>
      </c>
      <c r="B6" s="8">
        <v>8</v>
      </c>
      <c r="C6" s="8">
        <v>9</v>
      </c>
      <c r="D6" s="8">
        <v>3</v>
      </c>
      <c r="E6" s="8">
        <v>5</v>
      </c>
      <c r="F6" s="8">
        <v>8</v>
      </c>
      <c r="G6" s="8">
        <v>8</v>
      </c>
      <c r="H6" s="8">
        <v>5</v>
      </c>
      <c r="I6" s="8">
        <v>3</v>
      </c>
      <c r="J6" s="8">
        <v>4</v>
      </c>
      <c r="K6" s="8">
        <v>3</v>
      </c>
      <c r="L6" s="8">
        <v>8</v>
      </c>
      <c r="M6" s="8">
        <v>2</v>
      </c>
      <c r="N6" s="8">
        <v>7</v>
      </c>
      <c r="O6" s="8">
        <v>7</v>
      </c>
      <c r="P6" s="8">
        <v>4</v>
      </c>
      <c r="Q6" s="8">
        <v>9</v>
      </c>
      <c r="R6" s="8">
        <v>2</v>
      </c>
      <c r="S6" s="8">
        <v>6</v>
      </c>
      <c r="T6" s="8">
        <v>6</v>
      </c>
      <c r="U6" s="8">
        <v>5</v>
      </c>
      <c r="V6" s="8">
        <v>5</v>
      </c>
      <c r="W6" s="8">
        <v>8</v>
      </c>
      <c r="X6" s="8">
        <v>11</v>
      </c>
      <c r="Y6" s="8">
        <v>10</v>
      </c>
      <c r="Z6" s="8">
        <v>4</v>
      </c>
      <c r="AA6" s="8">
        <v>150</v>
      </c>
    </row>
    <row r="7" spans="1:27" x14ac:dyDescent="0.3">
      <c r="A7" s="7" t="s">
        <v>13</v>
      </c>
      <c r="B7" s="8">
        <v>9</v>
      </c>
      <c r="C7" s="8">
        <v>4</v>
      </c>
      <c r="D7" s="8">
        <v>4</v>
      </c>
      <c r="E7" s="8">
        <v>5</v>
      </c>
      <c r="F7" s="8">
        <v>2</v>
      </c>
      <c r="G7" s="8">
        <v>8</v>
      </c>
      <c r="H7" s="8">
        <v>9</v>
      </c>
      <c r="I7" s="8">
        <v>4</v>
      </c>
      <c r="J7" s="8">
        <v>10</v>
      </c>
      <c r="K7" s="8">
        <v>3</v>
      </c>
      <c r="L7" s="8">
        <v>5</v>
      </c>
      <c r="M7" s="8">
        <v>7</v>
      </c>
      <c r="N7" s="8">
        <v>6</v>
      </c>
      <c r="O7" s="8">
        <v>5</v>
      </c>
      <c r="P7" s="8">
        <v>7</v>
      </c>
      <c r="Q7" s="8">
        <v>8</v>
      </c>
      <c r="R7" s="8">
        <v>4</v>
      </c>
      <c r="S7" s="8">
        <v>6</v>
      </c>
      <c r="T7" s="8">
        <v>6</v>
      </c>
      <c r="U7" s="8">
        <v>2</v>
      </c>
      <c r="V7" s="8">
        <v>6</v>
      </c>
      <c r="W7" s="8">
        <v>4</v>
      </c>
      <c r="X7" s="8">
        <v>3</v>
      </c>
      <c r="Y7" s="8">
        <v>6</v>
      </c>
      <c r="Z7" s="8">
        <v>6</v>
      </c>
      <c r="AA7" s="8">
        <v>139</v>
      </c>
    </row>
    <row r="8" spans="1:27" x14ac:dyDescent="0.3">
      <c r="A8" s="7" t="s">
        <v>25</v>
      </c>
      <c r="B8" s="8">
        <v>5</v>
      </c>
      <c r="C8" s="8">
        <v>5</v>
      </c>
      <c r="D8" s="8">
        <v>3</v>
      </c>
      <c r="E8" s="8">
        <v>8</v>
      </c>
      <c r="F8" s="8">
        <v>5</v>
      </c>
      <c r="G8" s="8">
        <v>2</v>
      </c>
      <c r="H8" s="8">
        <v>4</v>
      </c>
      <c r="I8" s="8">
        <v>6</v>
      </c>
      <c r="J8" s="8">
        <v>7</v>
      </c>
      <c r="K8" s="8">
        <v>5</v>
      </c>
      <c r="L8" s="8">
        <v>7</v>
      </c>
      <c r="M8" s="8">
        <v>5</v>
      </c>
      <c r="N8" s="8">
        <v>5</v>
      </c>
      <c r="O8" s="8">
        <v>5</v>
      </c>
      <c r="P8" s="8">
        <v>11</v>
      </c>
      <c r="Q8" s="8">
        <v>2</v>
      </c>
      <c r="R8" s="8">
        <v>7</v>
      </c>
      <c r="S8" s="8">
        <v>2</v>
      </c>
      <c r="T8" s="8">
        <v>3</v>
      </c>
      <c r="U8" s="8">
        <v>3</v>
      </c>
      <c r="V8" s="8">
        <v>4</v>
      </c>
      <c r="W8" s="8">
        <v>4</v>
      </c>
      <c r="X8" s="8">
        <v>8</v>
      </c>
      <c r="Y8" s="8">
        <v>9</v>
      </c>
      <c r="Z8" s="8">
        <v>6</v>
      </c>
      <c r="AA8" s="8">
        <v>131</v>
      </c>
    </row>
    <row r="9" spans="1:27" x14ac:dyDescent="0.3">
      <c r="A9" s="7" t="s">
        <v>21</v>
      </c>
      <c r="B9" s="8">
        <v>7</v>
      </c>
      <c r="C9" s="8">
        <v>3</v>
      </c>
      <c r="D9" s="8"/>
      <c r="E9" s="8">
        <v>7</v>
      </c>
      <c r="F9" s="8">
        <v>5</v>
      </c>
      <c r="G9" s="8">
        <v>4</v>
      </c>
      <c r="H9" s="8">
        <v>9</v>
      </c>
      <c r="I9" s="8">
        <v>10</v>
      </c>
      <c r="J9" s="8">
        <v>14</v>
      </c>
      <c r="K9" s="8">
        <v>5</v>
      </c>
      <c r="L9" s="8">
        <v>11</v>
      </c>
      <c r="M9" s="8">
        <v>4</v>
      </c>
      <c r="N9" s="8">
        <v>6</v>
      </c>
      <c r="O9" s="8">
        <v>3</v>
      </c>
      <c r="P9" s="8">
        <v>5</v>
      </c>
      <c r="Q9" s="8">
        <v>8</v>
      </c>
      <c r="R9" s="8">
        <v>7</v>
      </c>
      <c r="S9" s="8">
        <v>5</v>
      </c>
      <c r="T9" s="8">
        <v>3</v>
      </c>
      <c r="U9" s="8">
        <v>6</v>
      </c>
      <c r="V9" s="8">
        <v>3</v>
      </c>
      <c r="W9" s="8">
        <v>3</v>
      </c>
      <c r="X9" s="8">
        <v>6</v>
      </c>
      <c r="Y9" s="8">
        <v>5</v>
      </c>
      <c r="Z9" s="8">
        <v>2</v>
      </c>
      <c r="AA9" s="8">
        <v>141</v>
      </c>
    </row>
    <row r="10" spans="1:27" x14ac:dyDescent="0.3">
      <c r="A10" s="7" t="s">
        <v>72</v>
      </c>
      <c r="B10" s="8">
        <v>61</v>
      </c>
      <c r="C10" s="8">
        <v>36</v>
      </c>
      <c r="D10" s="8">
        <v>22</v>
      </c>
      <c r="E10" s="8">
        <v>46</v>
      </c>
      <c r="F10" s="8">
        <v>38</v>
      </c>
      <c r="G10" s="8">
        <v>41</v>
      </c>
      <c r="H10" s="8">
        <v>48</v>
      </c>
      <c r="I10" s="8">
        <v>42</v>
      </c>
      <c r="J10" s="8">
        <v>44</v>
      </c>
      <c r="K10" s="8">
        <v>29</v>
      </c>
      <c r="L10" s="8">
        <v>46</v>
      </c>
      <c r="M10" s="8">
        <v>33</v>
      </c>
      <c r="N10" s="8">
        <v>46</v>
      </c>
      <c r="O10" s="8">
        <v>45</v>
      </c>
      <c r="P10" s="8">
        <v>44</v>
      </c>
      <c r="Q10" s="8">
        <v>48</v>
      </c>
      <c r="R10" s="8">
        <v>40</v>
      </c>
      <c r="S10" s="8">
        <v>33</v>
      </c>
      <c r="T10" s="8">
        <v>32</v>
      </c>
      <c r="U10" s="8">
        <v>34</v>
      </c>
      <c r="V10" s="8">
        <v>34</v>
      </c>
      <c r="W10" s="8">
        <v>37</v>
      </c>
      <c r="X10" s="8">
        <v>45</v>
      </c>
      <c r="Y10" s="8">
        <v>45</v>
      </c>
      <c r="Z10" s="8">
        <v>31</v>
      </c>
      <c r="AA10" s="8">
        <v>1000</v>
      </c>
    </row>
    <row r="14" spans="1:27" x14ac:dyDescent="0.3">
      <c r="A14" s="6" t="s">
        <v>71</v>
      </c>
      <c r="B14" t="s">
        <v>88</v>
      </c>
      <c r="C14" t="s">
        <v>79</v>
      </c>
    </row>
    <row r="15" spans="1:27" x14ac:dyDescent="0.3">
      <c r="A15" s="7" t="s">
        <v>18</v>
      </c>
      <c r="B15" s="8">
        <v>147</v>
      </c>
      <c r="C15" s="8">
        <v>59</v>
      </c>
      <c r="E15" t="s">
        <v>86</v>
      </c>
      <c r="F15" t="s">
        <v>87</v>
      </c>
      <c r="G15" t="s">
        <v>85</v>
      </c>
    </row>
    <row r="16" spans="1:27" x14ac:dyDescent="0.3">
      <c r="A16" s="7" t="s">
        <v>31</v>
      </c>
      <c r="B16" s="8">
        <v>160</v>
      </c>
      <c r="C16" s="8">
        <v>78</v>
      </c>
      <c r="D16" s="7" t="s">
        <v>18</v>
      </c>
      <c r="E16" s="8">
        <v>1120</v>
      </c>
      <c r="F16" s="8">
        <v>59</v>
      </c>
      <c r="G16" s="9">
        <f>F16/E16</f>
        <v>5.2678571428571429E-2</v>
      </c>
    </row>
    <row r="17" spans="1:7" x14ac:dyDescent="0.3">
      <c r="A17" s="7" t="s">
        <v>36</v>
      </c>
      <c r="B17" s="8">
        <v>132</v>
      </c>
      <c r="C17" s="8">
        <v>42</v>
      </c>
      <c r="D17" s="7" t="s">
        <v>31</v>
      </c>
      <c r="E17" s="8">
        <v>1243</v>
      </c>
      <c r="F17" s="8">
        <v>78</v>
      </c>
      <c r="G17" s="9">
        <f t="shared" ref="G17:G23" si="0">F17/E17</f>
        <v>6.2751407884151247E-2</v>
      </c>
    </row>
    <row r="18" spans="1:7" x14ac:dyDescent="0.3">
      <c r="A18" s="7" t="s">
        <v>23</v>
      </c>
      <c r="B18" s="8">
        <v>150</v>
      </c>
      <c r="C18" s="8">
        <v>63</v>
      </c>
      <c r="D18" s="7" t="s">
        <v>36</v>
      </c>
      <c r="E18" s="8">
        <v>949</v>
      </c>
      <c r="F18" s="8">
        <v>42</v>
      </c>
      <c r="G18" s="9">
        <f t="shared" si="0"/>
        <v>4.4257112750263436E-2</v>
      </c>
    </row>
    <row r="19" spans="1:7" x14ac:dyDescent="0.3">
      <c r="A19" s="7" t="s">
        <v>13</v>
      </c>
      <c r="B19" s="8">
        <v>139</v>
      </c>
      <c r="C19" s="8">
        <v>63</v>
      </c>
      <c r="D19" s="7" t="s">
        <v>23</v>
      </c>
      <c r="E19" s="8">
        <v>1217</v>
      </c>
      <c r="F19" s="8">
        <v>63</v>
      </c>
      <c r="G19" s="9">
        <f t="shared" si="0"/>
        <v>5.1766639276910435E-2</v>
      </c>
    </row>
    <row r="20" spans="1:7" x14ac:dyDescent="0.3">
      <c r="A20" s="7" t="s">
        <v>25</v>
      </c>
      <c r="B20" s="8">
        <v>131</v>
      </c>
      <c r="C20" s="8">
        <v>54</v>
      </c>
      <c r="D20" s="7" t="s">
        <v>13</v>
      </c>
      <c r="E20" s="8">
        <v>931</v>
      </c>
      <c r="F20" s="8">
        <v>63</v>
      </c>
      <c r="G20" s="9">
        <f t="shared" si="0"/>
        <v>6.7669172932330823E-2</v>
      </c>
    </row>
    <row r="21" spans="1:7" x14ac:dyDescent="0.3">
      <c r="A21" s="7" t="s">
        <v>21</v>
      </c>
      <c r="B21" s="8">
        <v>141</v>
      </c>
      <c r="C21" s="8">
        <v>57</v>
      </c>
      <c r="D21" s="7" t="s">
        <v>25</v>
      </c>
      <c r="E21" s="8">
        <v>1005</v>
      </c>
      <c r="F21" s="8">
        <v>54</v>
      </c>
      <c r="G21" s="9">
        <f t="shared" si="0"/>
        <v>5.3731343283582089E-2</v>
      </c>
    </row>
    <row r="22" spans="1:7" x14ac:dyDescent="0.3">
      <c r="A22" s="7" t="s">
        <v>72</v>
      </c>
      <c r="B22" s="8">
        <v>1000</v>
      </c>
      <c r="C22" s="8">
        <v>416</v>
      </c>
      <c r="D22" s="7" t="s">
        <v>21</v>
      </c>
      <c r="E22" s="8">
        <v>1035</v>
      </c>
      <c r="F22" s="8">
        <v>57</v>
      </c>
      <c r="G22" s="9">
        <f t="shared" si="0"/>
        <v>5.5072463768115941E-2</v>
      </c>
    </row>
    <row r="23" spans="1:7" x14ac:dyDescent="0.3">
      <c r="E23">
        <f>SUM(E16:E22)</f>
        <v>7500</v>
      </c>
      <c r="F23">
        <f>SUM(F16:F22)</f>
        <v>416</v>
      </c>
      <c r="G23" s="10">
        <f>F23/E23</f>
        <v>5.5466666666666664E-2</v>
      </c>
    </row>
    <row r="29" spans="1:7" x14ac:dyDescent="0.3">
      <c r="F29" t="e">
        <f>5/0</f>
        <v>#DIV/0!</v>
      </c>
    </row>
    <row r="30" spans="1:7" x14ac:dyDescent="0.3">
      <c r="F30" t="str">
        <f>IFERROR(5/0,"Dělení nulou")</f>
        <v>Dělení nulou</v>
      </c>
    </row>
    <row r="32" spans="1:7" x14ac:dyDescent="0.3">
      <c r="E32" t="s">
        <v>89</v>
      </c>
      <c r="F32" t="s">
        <v>90</v>
      </c>
    </row>
    <row r="33" spans="5:6" x14ac:dyDescent="0.3">
      <c r="E33" t="str">
        <f>TRIM(E32)</f>
        <v>Ahoj jak to jde</v>
      </c>
      <c r="F33" t="str">
        <f>CLEAN(F32)</f>
        <v>a b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AD8F-2421-4A51-93EC-A0A151A8E1BC}">
  <dimension ref="D9:K823"/>
  <sheetViews>
    <sheetView tabSelected="1" zoomScale="115" zoomScaleNormal="115" workbookViewId="0">
      <selection activeCell="I15" sqref="I15"/>
    </sheetView>
  </sheetViews>
  <sheetFormatPr defaultRowHeight="14.4" x14ac:dyDescent="0.3"/>
  <cols>
    <col min="4" max="4" width="15.109375" bestFit="1" customWidth="1"/>
    <col min="5" max="5" width="20" bestFit="1" customWidth="1"/>
    <col min="8" max="8" width="15.21875" bestFit="1" customWidth="1"/>
    <col min="9" max="9" width="20" bestFit="1" customWidth="1"/>
    <col min="11" max="11" width="11.21875" bestFit="1" customWidth="1"/>
  </cols>
  <sheetData>
    <row r="9" spans="8:11" x14ac:dyDescent="0.3">
      <c r="H9" s="6" t="s">
        <v>71</v>
      </c>
      <c r="I9" t="s">
        <v>83</v>
      </c>
    </row>
    <row r="10" spans="8:11" x14ac:dyDescent="0.3">
      <c r="H10" s="7" t="s">
        <v>15</v>
      </c>
      <c r="I10" s="8">
        <v>4.3978658536585362</v>
      </c>
    </row>
    <row r="11" spans="8:11" x14ac:dyDescent="0.3">
      <c r="H11" s="7" t="s">
        <v>16</v>
      </c>
      <c r="I11" s="8">
        <v>4.3488372093023253</v>
      </c>
    </row>
    <row r="12" spans="8:11" x14ac:dyDescent="0.3">
      <c r="H12" s="7" t="s">
        <v>72</v>
      </c>
      <c r="I12" s="8">
        <v>4.3810000000000002</v>
      </c>
      <c r="J12" t="s">
        <v>16</v>
      </c>
      <c r="K12" t="s">
        <v>15</v>
      </c>
    </row>
    <row r="13" spans="8:11" x14ac:dyDescent="0.3">
      <c r="J13" cm="1">
        <f t="array" ref="J13:J356">_xlfn._xlws.FILTER(Tabulka1[Spokojenost],Tabulka1[E-shop]="ano")</f>
        <v>3</v>
      </c>
      <c r="K13" cm="1">
        <f t="array" ref="K13:K668">_xlfn._xlws.FILTER(Tabulka1[Spokojenost],Tabulka1[E-shop]="ne")</f>
        <v>1</v>
      </c>
    </row>
    <row r="14" spans="8:11" x14ac:dyDescent="0.3">
      <c r="J14">
        <v>1</v>
      </c>
      <c r="K14">
        <v>2</v>
      </c>
    </row>
    <row r="15" spans="8:11" x14ac:dyDescent="0.3">
      <c r="J15">
        <v>5</v>
      </c>
      <c r="K15">
        <v>4</v>
      </c>
    </row>
    <row r="16" spans="8:11" x14ac:dyDescent="0.3">
      <c r="J16">
        <v>7</v>
      </c>
      <c r="K16">
        <v>1</v>
      </c>
    </row>
    <row r="17" spans="4:11" x14ac:dyDescent="0.3">
      <c r="G17" t="s">
        <v>17</v>
      </c>
      <c r="H17" t="s">
        <v>20</v>
      </c>
      <c r="J17">
        <v>5</v>
      </c>
      <c r="K17">
        <v>1</v>
      </c>
    </row>
    <row r="18" spans="4:11" x14ac:dyDescent="0.3">
      <c r="D18" s="6" t="s">
        <v>71</v>
      </c>
      <c r="E18" t="s">
        <v>83</v>
      </c>
      <c r="G18" cm="1">
        <f t="array" ref="G18:G211">_xlfn._xlws.FILTER(Tabulka1[Spokojenost],Tabulka1[Typ_zakaznika]="firemní")</f>
        <v>1</v>
      </c>
      <c r="H18" cm="1">
        <f t="array" ref="H18:H823">_xlfn._xlws.FILTER(Tabulka1[Spokojenost],Tabulka1[Typ_zakaznika]="individuální")</f>
        <v>3</v>
      </c>
      <c r="J18">
        <v>2</v>
      </c>
      <c r="K18">
        <v>1</v>
      </c>
    </row>
    <row r="19" spans="4:11" x14ac:dyDescent="0.3">
      <c r="D19" s="7" t="s">
        <v>17</v>
      </c>
      <c r="E19" s="8">
        <v>4.5257731958762886</v>
      </c>
      <c r="G19">
        <v>3</v>
      </c>
      <c r="H19">
        <v>1</v>
      </c>
      <c r="J19">
        <v>1</v>
      </c>
      <c r="K19">
        <v>3</v>
      </c>
    </row>
    <row r="20" spans="4:11" x14ac:dyDescent="0.3">
      <c r="D20" s="7" t="s">
        <v>20</v>
      </c>
      <c r="E20" s="8">
        <v>4.3461538461538458</v>
      </c>
      <c r="G20">
        <v>7</v>
      </c>
      <c r="H20">
        <v>2</v>
      </c>
      <c r="J20">
        <v>1</v>
      </c>
      <c r="K20">
        <v>3</v>
      </c>
    </row>
    <row r="21" spans="4:11" x14ac:dyDescent="0.3">
      <c r="D21" s="7" t="s">
        <v>72</v>
      </c>
      <c r="E21" s="8">
        <v>4.3810000000000002</v>
      </c>
      <c r="G21">
        <v>2</v>
      </c>
      <c r="H21">
        <v>1</v>
      </c>
      <c r="J21">
        <v>4</v>
      </c>
      <c r="K21">
        <v>6</v>
      </c>
    </row>
    <row r="22" spans="4:11" x14ac:dyDescent="0.3">
      <c r="G22">
        <v>1</v>
      </c>
      <c r="H22">
        <v>4</v>
      </c>
      <c r="J22">
        <v>7</v>
      </c>
      <c r="K22">
        <v>4</v>
      </c>
    </row>
    <row r="23" spans="4:11" x14ac:dyDescent="0.3">
      <c r="G23">
        <v>1</v>
      </c>
      <c r="H23">
        <v>5</v>
      </c>
      <c r="J23">
        <v>7</v>
      </c>
      <c r="K23">
        <v>1</v>
      </c>
    </row>
    <row r="24" spans="4:11" x14ac:dyDescent="0.3">
      <c r="G24">
        <v>7</v>
      </c>
      <c r="H24">
        <v>1</v>
      </c>
      <c r="J24">
        <v>5</v>
      </c>
      <c r="K24">
        <v>8</v>
      </c>
    </row>
    <row r="25" spans="4:11" x14ac:dyDescent="0.3">
      <c r="G25">
        <v>3</v>
      </c>
      <c r="H25">
        <v>1</v>
      </c>
      <c r="J25">
        <v>3</v>
      </c>
      <c r="K25">
        <v>1</v>
      </c>
    </row>
    <row r="26" spans="4:11" x14ac:dyDescent="0.3">
      <c r="G26">
        <v>2</v>
      </c>
      <c r="H26">
        <v>5</v>
      </c>
      <c r="J26">
        <v>3</v>
      </c>
      <c r="K26">
        <v>3</v>
      </c>
    </row>
    <row r="27" spans="4:11" x14ac:dyDescent="0.3">
      <c r="G27">
        <v>6</v>
      </c>
      <c r="H27">
        <v>3</v>
      </c>
      <c r="J27">
        <v>4</v>
      </c>
      <c r="K27">
        <v>3</v>
      </c>
    </row>
    <row r="28" spans="4:11" x14ac:dyDescent="0.3">
      <c r="G28">
        <v>1</v>
      </c>
      <c r="H28">
        <v>6</v>
      </c>
      <c r="J28">
        <v>1</v>
      </c>
      <c r="K28">
        <v>2</v>
      </c>
    </row>
    <row r="29" spans="4:11" x14ac:dyDescent="0.3">
      <c r="G29">
        <v>3</v>
      </c>
      <c r="H29">
        <v>4</v>
      </c>
      <c r="J29">
        <v>1</v>
      </c>
      <c r="K29">
        <v>1</v>
      </c>
    </row>
    <row r="30" spans="4:11" x14ac:dyDescent="0.3">
      <c r="G30">
        <v>1</v>
      </c>
      <c r="H30">
        <v>1</v>
      </c>
      <c r="J30">
        <v>4</v>
      </c>
      <c r="K30">
        <v>4</v>
      </c>
    </row>
    <row r="31" spans="4:11" x14ac:dyDescent="0.3">
      <c r="G31">
        <v>1</v>
      </c>
      <c r="H31">
        <v>8</v>
      </c>
      <c r="J31">
        <v>6</v>
      </c>
      <c r="K31">
        <v>2</v>
      </c>
    </row>
    <row r="32" spans="4:11" x14ac:dyDescent="0.3">
      <c r="G32">
        <v>2</v>
      </c>
      <c r="H32">
        <v>1</v>
      </c>
      <c r="J32">
        <v>2</v>
      </c>
      <c r="K32">
        <v>1</v>
      </c>
    </row>
    <row r="33" spans="7:11" x14ac:dyDescent="0.3">
      <c r="G33">
        <v>3</v>
      </c>
      <c r="H33">
        <v>3</v>
      </c>
      <c r="J33">
        <v>1</v>
      </c>
      <c r="K33">
        <v>2</v>
      </c>
    </row>
    <row r="34" spans="7:11" x14ac:dyDescent="0.3">
      <c r="G34">
        <v>6</v>
      </c>
      <c r="H34">
        <v>3</v>
      </c>
      <c r="J34">
        <v>7</v>
      </c>
      <c r="K34">
        <v>5</v>
      </c>
    </row>
    <row r="35" spans="7:11" x14ac:dyDescent="0.3">
      <c r="G35">
        <v>6</v>
      </c>
      <c r="H35">
        <v>2</v>
      </c>
      <c r="J35">
        <v>7</v>
      </c>
      <c r="K35">
        <v>4</v>
      </c>
    </row>
    <row r="36" spans="7:11" x14ac:dyDescent="0.3">
      <c r="G36">
        <v>5</v>
      </c>
      <c r="H36">
        <v>1</v>
      </c>
      <c r="J36">
        <v>4</v>
      </c>
      <c r="K36">
        <v>1</v>
      </c>
    </row>
    <row r="37" spans="7:11" x14ac:dyDescent="0.3">
      <c r="G37">
        <v>4</v>
      </c>
      <c r="H37">
        <v>4</v>
      </c>
      <c r="J37">
        <v>7</v>
      </c>
      <c r="K37">
        <v>6</v>
      </c>
    </row>
    <row r="38" spans="7:11" x14ac:dyDescent="0.3">
      <c r="G38">
        <v>4</v>
      </c>
      <c r="H38">
        <v>2</v>
      </c>
      <c r="J38">
        <v>6</v>
      </c>
      <c r="K38">
        <v>6</v>
      </c>
    </row>
    <row r="39" spans="7:11" x14ac:dyDescent="0.3">
      <c r="G39">
        <v>2</v>
      </c>
      <c r="H39">
        <v>4</v>
      </c>
      <c r="J39">
        <v>7</v>
      </c>
      <c r="K39">
        <v>4</v>
      </c>
    </row>
    <row r="40" spans="7:11" x14ac:dyDescent="0.3">
      <c r="G40">
        <v>1</v>
      </c>
      <c r="H40">
        <v>1</v>
      </c>
      <c r="J40">
        <v>3</v>
      </c>
      <c r="K40">
        <v>2</v>
      </c>
    </row>
    <row r="41" spans="7:11" x14ac:dyDescent="0.3">
      <c r="G41">
        <v>3</v>
      </c>
      <c r="H41">
        <v>2</v>
      </c>
      <c r="J41">
        <v>1</v>
      </c>
      <c r="K41">
        <v>3</v>
      </c>
    </row>
    <row r="42" spans="7:11" x14ac:dyDescent="0.3">
      <c r="G42">
        <v>3</v>
      </c>
      <c r="H42">
        <v>5</v>
      </c>
      <c r="J42">
        <v>1</v>
      </c>
      <c r="K42">
        <v>2</v>
      </c>
    </row>
    <row r="43" spans="7:11" x14ac:dyDescent="0.3">
      <c r="G43">
        <v>1</v>
      </c>
      <c r="H43">
        <v>4</v>
      </c>
      <c r="J43">
        <v>2</v>
      </c>
      <c r="K43">
        <v>3</v>
      </c>
    </row>
    <row r="44" spans="7:11" x14ac:dyDescent="0.3">
      <c r="G44">
        <v>1</v>
      </c>
      <c r="H44">
        <v>1</v>
      </c>
      <c r="J44">
        <v>4</v>
      </c>
      <c r="K44">
        <v>1</v>
      </c>
    </row>
    <row r="45" spans="7:11" x14ac:dyDescent="0.3">
      <c r="G45">
        <v>4</v>
      </c>
      <c r="H45">
        <v>6</v>
      </c>
      <c r="J45">
        <v>1</v>
      </c>
      <c r="K45">
        <v>5</v>
      </c>
    </row>
    <row r="46" spans="7:11" x14ac:dyDescent="0.3">
      <c r="G46">
        <v>6</v>
      </c>
      <c r="H46">
        <v>7</v>
      </c>
      <c r="J46">
        <v>3</v>
      </c>
      <c r="K46">
        <v>5</v>
      </c>
    </row>
    <row r="47" spans="7:11" x14ac:dyDescent="0.3">
      <c r="G47">
        <v>3</v>
      </c>
      <c r="H47">
        <v>6</v>
      </c>
      <c r="J47">
        <v>5</v>
      </c>
      <c r="K47">
        <v>2</v>
      </c>
    </row>
    <row r="48" spans="7:11" x14ac:dyDescent="0.3">
      <c r="G48">
        <v>6</v>
      </c>
      <c r="H48">
        <v>4</v>
      </c>
      <c r="J48">
        <v>4</v>
      </c>
      <c r="K48">
        <v>2</v>
      </c>
    </row>
    <row r="49" spans="7:11" x14ac:dyDescent="0.3">
      <c r="G49">
        <v>8</v>
      </c>
      <c r="H49">
        <v>5</v>
      </c>
      <c r="J49">
        <v>3</v>
      </c>
      <c r="K49">
        <v>7</v>
      </c>
    </row>
    <row r="50" spans="7:11" x14ac:dyDescent="0.3">
      <c r="G50">
        <v>5</v>
      </c>
      <c r="H50">
        <v>2</v>
      </c>
      <c r="J50">
        <v>6</v>
      </c>
      <c r="K50">
        <v>4</v>
      </c>
    </row>
    <row r="51" spans="7:11" x14ac:dyDescent="0.3">
      <c r="G51">
        <v>5</v>
      </c>
      <c r="H51">
        <v>3</v>
      </c>
      <c r="J51">
        <v>6</v>
      </c>
      <c r="K51">
        <v>2</v>
      </c>
    </row>
    <row r="52" spans="7:11" x14ac:dyDescent="0.3">
      <c r="G52">
        <v>6</v>
      </c>
      <c r="H52">
        <v>2</v>
      </c>
      <c r="J52">
        <v>2</v>
      </c>
      <c r="K52">
        <v>1</v>
      </c>
    </row>
    <row r="53" spans="7:11" x14ac:dyDescent="0.3">
      <c r="G53">
        <v>5</v>
      </c>
      <c r="H53">
        <v>3</v>
      </c>
      <c r="J53">
        <v>5</v>
      </c>
      <c r="K53">
        <v>5</v>
      </c>
    </row>
    <row r="54" spans="7:11" x14ac:dyDescent="0.3">
      <c r="G54">
        <v>7</v>
      </c>
      <c r="H54">
        <v>1</v>
      </c>
      <c r="J54">
        <v>3</v>
      </c>
      <c r="K54">
        <v>5</v>
      </c>
    </row>
    <row r="55" spans="7:11" x14ac:dyDescent="0.3">
      <c r="G55">
        <v>6</v>
      </c>
      <c r="H55">
        <v>5</v>
      </c>
      <c r="J55">
        <v>2</v>
      </c>
      <c r="K55">
        <v>1</v>
      </c>
    </row>
    <row r="56" spans="7:11" x14ac:dyDescent="0.3">
      <c r="G56">
        <v>1</v>
      </c>
      <c r="H56">
        <v>3</v>
      </c>
      <c r="J56">
        <v>3</v>
      </c>
      <c r="K56">
        <v>3</v>
      </c>
    </row>
    <row r="57" spans="7:11" x14ac:dyDescent="0.3">
      <c r="G57">
        <v>4</v>
      </c>
      <c r="H57">
        <v>4</v>
      </c>
      <c r="J57">
        <v>1</v>
      </c>
      <c r="K57">
        <v>1</v>
      </c>
    </row>
    <row r="58" spans="7:11" x14ac:dyDescent="0.3">
      <c r="G58">
        <v>1</v>
      </c>
      <c r="H58">
        <v>1</v>
      </c>
      <c r="J58">
        <v>3</v>
      </c>
      <c r="K58">
        <v>4</v>
      </c>
    </row>
    <row r="59" spans="7:11" x14ac:dyDescent="0.3">
      <c r="G59">
        <v>1</v>
      </c>
      <c r="H59">
        <v>5</v>
      </c>
      <c r="J59">
        <v>4</v>
      </c>
      <c r="K59">
        <v>6</v>
      </c>
    </row>
    <row r="60" spans="7:11" x14ac:dyDescent="0.3">
      <c r="G60">
        <v>5</v>
      </c>
      <c r="H60">
        <v>2</v>
      </c>
      <c r="J60">
        <v>3</v>
      </c>
      <c r="K60">
        <v>2</v>
      </c>
    </row>
    <row r="61" spans="7:11" x14ac:dyDescent="0.3">
      <c r="G61">
        <v>3</v>
      </c>
      <c r="H61">
        <v>7</v>
      </c>
      <c r="J61">
        <v>4</v>
      </c>
      <c r="K61">
        <v>1</v>
      </c>
    </row>
    <row r="62" spans="7:11" x14ac:dyDescent="0.3">
      <c r="G62">
        <v>1</v>
      </c>
      <c r="H62">
        <v>4</v>
      </c>
      <c r="J62">
        <v>1</v>
      </c>
      <c r="K62">
        <v>4</v>
      </c>
    </row>
    <row r="63" spans="7:11" x14ac:dyDescent="0.3">
      <c r="G63">
        <v>4</v>
      </c>
      <c r="H63">
        <v>1</v>
      </c>
      <c r="J63">
        <v>7</v>
      </c>
      <c r="K63">
        <v>4</v>
      </c>
    </row>
    <row r="64" spans="7:11" x14ac:dyDescent="0.3">
      <c r="G64">
        <v>5</v>
      </c>
      <c r="H64">
        <v>2</v>
      </c>
      <c r="J64">
        <v>5</v>
      </c>
      <c r="K64">
        <v>2</v>
      </c>
    </row>
    <row r="65" spans="7:11" x14ac:dyDescent="0.3">
      <c r="G65">
        <v>1</v>
      </c>
      <c r="H65">
        <v>4</v>
      </c>
      <c r="J65">
        <v>4</v>
      </c>
      <c r="K65">
        <v>6</v>
      </c>
    </row>
    <row r="66" spans="7:11" x14ac:dyDescent="0.3">
      <c r="G66">
        <v>3</v>
      </c>
      <c r="H66">
        <v>2</v>
      </c>
      <c r="J66">
        <v>6</v>
      </c>
      <c r="K66">
        <v>3</v>
      </c>
    </row>
    <row r="67" spans="7:11" x14ac:dyDescent="0.3">
      <c r="G67">
        <v>8</v>
      </c>
      <c r="H67">
        <v>1</v>
      </c>
      <c r="J67">
        <v>4</v>
      </c>
      <c r="K67">
        <v>3</v>
      </c>
    </row>
    <row r="68" spans="7:11" x14ac:dyDescent="0.3">
      <c r="G68">
        <v>4</v>
      </c>
      <c r="H68">
        <v>5</v>
      </c>
      <c r="J68">
        <v>1</v>
      </c>
      <c r="K68">
        <v>6</v>
      </c>
    </row>
    <row r="69" spans="7:11" x14ac:dyDescent="0.3">
      <c r="G69">
        <v>6</v>
      </c>
      <c r="H69">
        <v>1</v>
      </c>
      <c r="J69">
        <v>7</v>
      </c>
      <c r="K69">
        <v>6</v>
      </c>
    </row>
    <row r="70" spans="7:11" x14ac:dyDescent="0.3">
      <c r="G70">
        <v>4</v>
      </c>
      <c r="H70">
        <v>5</v>
      </c>
      <c r="J70">
        <v>2</v>
      </c>
      <c r="K70">
        <v>5</v>
      </c>
    </row>
    <row r="71" spans="7:11" x14ac:dyDescent="0.3">
      <c r="G71">
        <v>4</v>
      </c>
      <c r="H71">
        <v>7</v>
      </c>
      <c r="J71">
        <v>2</v>
      </c>
      <c r="K71">
        <v>6</v>
      </c>
    </row>
    <row r="72" spans="7:11" x14ac:dyDescent="0.3">
      <c r="G72">
        <v>3</v>
      </c>
      <c r="H72">
        <v>7</v>
      </c>
      <c r="J72">
        <v>5</v>
      </c>
      <c r="K72">
        <v>4</v>
      </c>
    </row>
    <row r="73" spans="7:11" x14ac:dyDescent="0.3">
      <c r="G73">
        <v>8</v>
      </c>
      <c r="H73">
        <v>4</v>
      </c>
      <c r="J73">
        <v>3</v>
      </c>
      <c r="K73">
        <v>1</v>
      </c>
    </row>
    <row r="74" spans="7:11" x14ac:dyDescent="0.3">
      <c r="G74">
        <v>1</v>
      </c>
      <c r="H74">
        <v>7</v>
      </c>
      <c r="J74">
        <v>8</v>
      </c>
      <c r="K74">
        <v>2</v>
      </c>
    </row>
    <row r="75" spans="7:11" x14ac:dyDescent="0.3">
      <c r="G75">
        <v>1</v>
      </c>
      <c r="H75">
        <v>6</v>
      </c>
      <c r="J75">
        <v>5</v>
      </c>
      <c r="K75">
        <v>7</v>
      </c>
    </row>
    <row r="76" spans="7:11" x14ac:dyDescent="0.3">
      <c r="G76">
        <v>1</v>
      </c>
      <c r="H76">
        <v>7</v>
      </c>
      <c r="J76">
        <v>2</v>
      </c>
      <c r="K76">
        <v>2</v>
      </c>
    </row>
    <row r="77" spans="7:11" x14ac:dyDescent="0.3">
      <c r="G77">
        <v>3</v>
      </c>
      <c r="H77">
        <v>1</v>
      </c>
      <c r="J77">
        <v>2</v>
      </c>
      <c r="K77">
        <v>5</v>
      </c>
    </row>
    <row r="78" spans="7:11" x14ac:dyDescent="0.3">
      <c r="G78">
        <v>7</v>
      </c>
      <c r="H78">
        <v>4</v>
      </c>
      <c r="J78">
        <v>4</v>
      </c>
      <c r="K78">
        <v>5</v>
      </c>
    </row>
    <row r="79" spans="7:11" x14ac:dyDescent="0.3">
      <c r="G79">
        <v>1</v>
      </c>
      <c r="H79">
        <v>6</v>
      </c>
      <c r="J79">
        <v>4</v>
      </c>
      <c r="K79">
        <v>4</v>
      </c>
    </row>
    <row r="80" spans="7:11" x14ac:dyDescent="0.3">
      <c r="G80">
        <v>5</v>
      </c>
      <c r="H80">
        <v>2</v>
      </c>
      <c r="J80">
        <v>5</v>
      </c>
      <c r="K80">
        <v>3</v>
      </c>
    </row>
    <row r="81" spans="7:11" x14ac:dyDescent="0.3">
      <c r="G81">
        <v>7</v>
      </c>
      <c r="H81">
        <v>3</v>
      </c>
      <c r="J81">
        <v>9</v>
      </c>
      <c r="K81">
        <v>4</v>
      </c>
    </row>
    <row r="82" spans="7:11" x14ac:dyDescent="0.3">
      <c r="G82">
        <v>7</v>
      </c>
      <c r="H82">
        <v>1</v>
      </c>
      <c r="J82">
        <v>5</v>
      </c>
      <c r="K82">
        <v>5</v>
      </c>
    </row>
    <row r="83" spans="7:11" x14ac:dyDescent="0.3">
      <c r="G83">
        <v>2</v>
      </c>
      <c r="H83">
        <v>4</v>
      </c>
      <c r="J83">
        <v>2</v>
      </c>
      <c r="K83">
        <v>2</v>
      </c>
    </row>
    <row r="84" spans="7:11" x14ac:dyDescent="0.3">
      <c r="G84">
        <v>4</v>
      </c>
      <c r="H84">
        <v>2</v>
      </c>
      <c r="J84">
        <v>2</v>
      </c>
      <c r="K84">
        <v>3</v>
      </c>
    </row>
    <row r="85" spans="7:11" x14ac:dyDescent="0.3">
      <c r="G85">
        <v>1</v>
      </c>
      <c r="H85">
        <v>4</v>
      </c>
      <c r="J85">
        <v>1</v>
      </c>
      <c r="K85">
        <v>3</v>
      </c>
    </row>
    <row r="86" spans="7:11" x14ac:dyDescent="0.3">
      <c r="G86">
        <v>7</v>
      </c>
      <c r="H86">
        <v>4</v>
      </c>
      <c r="J86">
        <v>8</v>
      </c>
      <c r="K86">
        <v>4</v>
      </c>
    </row>
    <row r="87" spans="7:11" x14ac:dyDescent="0.3">
      <c r="G87">
        <v>4</v>
      </c>
      <c r="H87">
        <v>1</v>
      </c>
      <c r="J87">
        <v>3</v>
      </c>
      <c r="K87">
        <v>1</v>
      </c>
    </row>
    <row r="88" spans="7:11" x14ac:dyDescent="0.3">
      <c r="G88">
        <v>6</v>
      </c>
      <c r="H88">
        <v>5</v>
      </c>
      <c r="J88">
        <v>4</v>
      </c>
      <c r="K88">
        <v>9</v>
      </c>
    </row>
    <row r="89" spans="7:11" x14ac:dyDescent="0.3">
      <c r="G89">
        <v>6</v>
      </c>
      <c r="H89">
        <v>4</v>
      </c>
      <c r="J89">
        <v>1</v>
      </c>
      <c r="K89">
        <v>3</v>
      </c>
    </row>
    <row r="90" spans="7:11" x14ac:dyDescent="0.3">
      <c r="G90">
        <v>4</v>
      </c>
      <c r="H90">
        <v>3</v>
      </c>
      <c r="J90">
        <v>5</v>
      </c>
      <c r="K90">
        <v>1</v>
      </c>
    </row>
    <row r="91" spans="7:11" x14ac:dyDescent="0.3">
      <c r="G91">
        <v>7</v>
      </c>
      <c r="H91">
        <v>6</v>
      </c>
      <c r="J91">
        <v>5</v>
      </c>
      <c r="K91">
        <v>6</v>
      </c>
    </row>
    <row r="92" spans="7:11" x14ac:dyDescent="0.3">
      <c r="G92">
        <v>5</v>
      </c>
      <c r="H92">
        <v>3</v>
      </c>
      <c r="J92">
        <v>3</v>
      </c>
      <c r="K92">
        <v>5</v>
      </c>
    </row>
    <row r="93" spans="7:11" x14ac:dyDescent="0.3">
      <c r="G93">
        <v>5</v>
      </c>
      <c r="H93">
        <v>3</v>
      </c>
      <c r="J93">
        <v>6</v>
      </c>
      <c r="K93">
        <v>6</v>
      </c>
    </row>
    <row r="94" spans="7:11" x14ac:dyDescent="0.3">
      <c r="G94">
        <v>3</v>
      </c>
      <c r="H94">
        <v>2</v>
      </c>
      <c r="J94">
        <v>4</v>
      </c>
      <c r="K94">
        <v>6</v>
      </c>
    </row>
    <row r="95" spans="7:11" x14ac:dyDescent="0.3">
      <c r="G95">
        <v>4</v>
      </c>
      <c r="H95">
        <v>6</v>
      </c>
      <c r="J95">
        <v>7</v>
      </c>
      <c r="K95">
        <v>6</v>
      </c>
    </row>
    <row r="96" spans="7:11" x14ac:dyDescent="0.3">
      <c r="G96">
        <v>5</v>
      </c>
      <c r="H96">
        <v>6</v>
      </c>
      <c r="J96">
        <v>1</v>
      </c>
      <c r="K96">
        <v>4</v>
      </c>
    </row>
    <row r="97" spans="7:11" x14ac:dyDescent="0.3">
      <c r="G97">
        <v>1</v>
      </c>
      <c r="H97">
        <v>6</v>
      </c>
      <c r="J97">
        <v>8</v>
      </c>
      <c r="K97">
        <v>3</v>
      </c>
    </row>
    <row r="98" spans="7:11" x14ac:dyDescent="0.3">
      <c r="G98">
        <v>4</v>
      </c>
      <c r="H98">
        <v>1</v>
      </c>
      <c r="J98">
        <v>2</v>
      </c>
      <c r="K98">
        <v>1</v>
      </c>
    </row>
    <row r="99" spans="7:11" x14ac:dyDescent="0.3">
      <c r="G99">
        <v>6</v>
      </c>
      <c r="H99">
        <v>5</v>
      </c>
      <c r="J99">
        <v>2</v>
      </c>
      <c r="K99">
        <v>4</v>
      </c>
    </row>
    <row r="100" spans="7:11" x14ac:dyDescent="0.3">
      <c r="G100">
        <v>9</v>
      </c>
      <c r="H100">
        <v>2</v>
      </c>
      <c r="J100">
        <v>1</v>
      </c>
      <c r="K100">
        <v>7</v>
      </c>
    </row>
    <row r="101" spans="7:11" x14ac:dyDescent="0.3">
      <c r="G101">
        <v>6</v>
      </c>
      <c r="H101">
        <v>7</v>
      </c>
      <c r="J101">
        <v>2</v>
      </c>
      <c r="K101">
        <v>1</v>
      </c>
    </row>
    <row r="102" spans="7:11" x14ac:dyDescent="0.3">
      <c r="G102">
        <v>1</v>
      </c>
      <c r="H102">
        <v>2</v>
      </c>
      <c r="J102">
        <v>2</v>
      </c>
      <c r="K102">
        <v>5</v>
      </c>
    </row>
    <row r="103" spans="7:11" x14ac:dyDescent="0.3">
      <c r="G103">
        <v>3</v>
      </c>
      <c r="H103">
        <v>3</v>
      </c>
      <c r="J103">
        <v>2</v>
      </c>
      <c r="K103">
        <v>6</v>
      </c>
    </row>
    <row r="104" spans="7:11" x14ac:dyDescent="0.3">
      <c r="G104">
        <v>1</v>
      </c>
      <c r="H104">
        <v>2</v>
      </c>
      <c r="J104">
        <v>6</v>
      </c>
      <c r="K104">
        <v>3</v>
      </c>
    </row>
    <row r="105" spans="7:11" x14ac:dyDescent="0.3">
      <c r="G105">
        <v>2</v>
      </c>
      <c r="H105">
        <v>5</v>
      </c>
      <c r="J105">
        <v>3</v>
      </c>
      <c r="K105">
        <v>6</v>
      </c>
    </row>
    <row r="106" spans="7:11" x14ac:dyDescent="0.3">
      <c r="G106">
        <v>6</v>
      </c>
      <c r="H106">
        <v>5</v>
      </c>
      <c r="J106">
        <v>1</v>
      </c>
      <c r="K106">
        <v>1</v>
      </c>
    </row>
    <row r="107" spans="7:11" x14ac:dyDescent="0.3">
      <c r="G107">
        <v>2</v>
      </c>
      <c r="H107">
        <v>3</v>
      </c>
      <c r="J107">
        <v>4</v>
      </c>
      <c r="K107">
        <v>3</v>
      </c>
    </row>
    <row r="108" spans="7:11" x14ac:dyDescent="0.3">
      <c r="G108">
        <v>5</v>
      </c>
      <c r="H108">
        <v>3</v>
      </c>
      <c r="J108">
        <v>4</v>
      </c>
      <c r="K108">
        <v>2</v>
      </c>
    </row>
    <row r="109" spans="7:11" x14ac:dyDescent="0.3">
      <c r="G109">
        <v>6</v>
      </c>
      <c r="H109">
        <v>1</v>
      </c>
      <c r="J109">
        <v>5</v>
      </c>
      <c r="K109">
        <v>5</v>
      </c>
    </row>
    <row r="110" spans="7:11" x14ac:dyDescent="0.3">
      <c r="G110">
        <v>1</v>
      </c>
      <c r="H110">
        <v>4</v>
      </c>
      <c r="J110">
        <v>3</v>
      </c>
      <c r="K110">
        <v>6</v>
      </c>
    </row>
    <row r="111" spans="7:11" x14ac:dyDescent="0.3">
      <c r="G111">
        <v>3</v>
      </c>
      <c r="H111">
        <v>3</v>
      </c>
      <c r="J111">
        <v>6</v>
      </c>
      <c r="K111">
        <v>7</v>
      </c>
    </row>
    <row r="112" spans="7:11" x14ac:dyDescent="0.3">
      <c r="G112">
        <v>3</v>
      </c>
      <c r="H112">
        <v>4</v>
      </c>
      <c r="J112">
        <v>4</v>
      </c>
      <c r="K112">
        <v>1</v>
      </c>
    </row>
    <row r="113" spans="7:11" x14ac:dyDescent="0.3">
      <c r="G113">
        <v>2</v>
      </c>
      <c r="H113">
        <v>3</v>
      </c>
      <c r="J113">
        <v>3</v>
      </c>
      <c r="K113">
        <v>6</v>
      </c>
    </row>
    <row r="114" spans="7:11" x14ac:dyDescent="0.3">
      <c r="G114">
        <v>4</v>
      </c>
      <c r="H114">
        <v>5</v>
      </c>
      <c r="J114">
        <v>4</v>
      </c>
      <c r="K114">
        <v>2</v>
      </c>
    </row>
    <row r="115" spans="7:11" x14ac:dyDescent="0.3">
      <c r="G115">
        <v>4</v>
      </c>
      <c r="H115">
        <v>4</v>
      </c>
      <c r="J115">
        <v>1</v>
      </c>
      <c r="K115">
        <v>3</v>
      </c>
    </row>
    <row r="116" spans="7:11" x14ac:dyDescent="0.3">
      <c r="G116">
        <v>6</v>
      </c>
      <c r="H116">
        <v>3</v>
      </c>
      <c r="J116">
        <v>1</v>
      </c>
      <c r="K116">
        <v>1</v>
      </c>
    </row>
    <row r="117" spans="7:11" x14ac:dyDescent="0.3">
      <c r="G117">
        <v>3</v>
      </c>
      <c r="H117">
        <v>4</v>
      </c>
      <c r="J117">
        <v>5</v>
      </c>
      <c r="K117">
        <v>3</v>
      </c>
    </row>
    <row r="118" spans="7:11" x14ac:dyDescent="0.3">
      <c r="G118">
        <v>8</v>
      </c>
      <c r="H118">
        <v>7</v>
      </c>
      <c r="J118">
        <v>1</v>
      </c>
      <c r="K118">
        <v>1</v>
      </c>
    </row>
    <row r="119" spans="7:11" x14ac:dyDescent="0.3">
      <c r="G119">
        <v>3</v>
      </c>
      <c r="H119">
        <v>5</v>
      </c>
      <c r="J119">
        <v>1</v>
      </c>
      <c r="K119">
        <v>6</v>
      </c>
    </row>
    <row r="120" spans="7:11" x14ac:dyDescent="0.3">
      <c r="G120">
        <v>1</v>
      </c>
      <c r="H120">
        <v>1</v>
      </c>
      <c r="J120">
        <v>5</v>
      </c>
      <c r="K120">
        <v>2</v>
      </c>
    </row>
    <row r="121" spans="7:11" x14ac:dyDescent="0.3">
      <c r="G121">
        <v>4</v>
      </c>
      <c r="H121">
        <v>9</v>
      </c>
      <c r="J121">
        <v>6</v>
      </c>
      <c r="K121">
        <v>3</v>
      </c>
    </row>
    <row r="122" spans="7:11" x14ac:dyDescent="0.3">
      <c r="G122">
        <v>5</v>
      </c>
      <c r="H122">
        <v>6</v>
      </c>
      <c r="J122">
        <v>6</v>
      </c>
      <c r="K122">
        <v>3</v>
      </c>
    </row>
    <row r="123" spans="7:11" x14ac:dyDescent="0.3">
      <c r="G123">
        <v>2</v>
      </c>
      <c r="H123">
        <v>5</v>
      </c>
      <c r="J123">
        <v>2</v>
      </c>
      <c r="K123">
        <v>5</v>
      </c>
    </row>
    <row r="124" spans="7:11" x14ac:dyDescent="0.3">
      <c r="G124">
        <v>5</v>
      </c>
      <c r="H124">
        <v>6</v>
      </c>
      <c r="J124">
        <v>4</v>
      </c>
      <c r="K124">
        <v>6</v>
      </c>
    </row>
    <row r="125" spans="7:11" x14ac:dyDescent="0.3">
      <c r="G125">
        <v>6</v>
      </c>
      <c r="H125">
        <v>6</v>
      </c>
      <c r="J125">
        <v>4</v>
      </c>
      <c r="K125">
        <v>5</v>
      </c>
    </row>
    <row r="126" spans="7:11" x14ac:dyDescent="0.3">
      <c r="G126">
        <v>8</v>
      </c>
      <c r="H126">
        <v>4</v>
      </c>
      <c r="J126">
        <v>3</v>
      </c>
      <c r="K126">
        <v>1</v>
      </c>
    </row>
    <row r="127" spans="7:11" x14ac:dyDescent="0.3">
      <c r="G127">
        <v>8</v>
      </c>
      <c r="H127">
        <v>6</v>
      </c>
      <c r="J127">
        <v>1</v>
      </c>
      <c r="K127">
        <v>2</v>
      </c>
    </row>
    <row r="128" spans="7:11" x14ac:dyDescent="0.3">
      <c r="G128">
        <v>1</v>
      </c>
      <c r="H128">
        <v>6</v>
      </c>
      <c r="J128">
        <v>6</v>
      </c>
      <c r="K128">
        <v>5</v>
      </c>
    </row>
    <row r="129" spans="7:11" x14ac:dyDescent="0.3">
      <c r="G129">
        <v>5</v>
      </c>
      <c r="H129">
        <v>4</v>
      </c>
      <c r="J129">
        <v>1</v>
      </c>
      <c r="K129">
        <v>5</v>
      </c>
    </row>
    <row r="130" spans="7:11" x14ac:dyDescent="0.3">
      <c r="G130">
        <v>5</v>
      </c>
      <c r="H130">
        <v>4</v>
      </c>
      <c r="J130">
        <v>1</v>
      </c>
      <c r="K130">
        <v>5</v>
      </c>
    </row>
    <row r="131" spans="7:11" x14ac:dyDescent="0.3">
      <c r="G131">
        <v>1</v>
      </c>
      <c r="H131">
        <v>3</v>
      </c>
      <c r="J131">
        <v>7</v>
      </c>
      <c r="K131">
        <v>5</v>
      </c>
    </row>
    <row r="132" spans="7:11" x14ac:dyDescent="0.3">
      <c r="G132">
        <v>4</v>
      </c>
      <c r="H132">
        <v>1</v>
      </c>
      <c r="J132">
        <v>8</v>
      </c>
      <c r="K132">
        <v>5</v>
      </c>
    </row>
    <row r="133" spans="7:11" x14ac:dyDescent="0.3">
      <c r="G133">
        <v>6</v>
      </c>
      <c r="H133">
        <v>7</v>
      </c>
      <c r="J133">
        <v>2</v>
      </c>
      <c r="K133">
        <v>4</v>
      </c>
    </row>
    <row r="134" spans="7:11" x14ac:dyDescent="0.3">
      <c r="G134">
        <v>7</v>
      </c>
      <c r="H134">
        <v>7</v>
      </c>
      <c r="J134">
        <v>3</v>
      </c>
      <c r="K134">
        <v>9</v>
      </c>
    </row>
    <row r="135" spans="7:11" x14ac:dyDescent="0.3">
      <c r="G135">
        <v>4</v>
      </c>
      <c r="H135">
        <v>1</v>
      </c>
      <c r="J135">
        <v>3</v>
      </c>
      <c r="K135">
        <v>3</v>
      </c>
    </row>
    <row r="136" spans="7:11" x14ac:dyDescent="0.3">
      <c r="G136">
        <v>4</v>
      </c>
      <c r="H136">
        <v>5</v>
      </c>
      <c r="J136">
        <v>4</v>
      </c>
      <c r="K136">
        <v>4</v>
      </c>
    </row>
    <row r="137" spans="7:11" x14ac:dyDescent="0.3">
      <c r="G137">
        <v>6</v>
      </c>
      <c r="H137">
        <v>6</v>
      </c>
      <c r="J137">
        <v>8</v>
      </c>
      <c r="K137">
        <v>6</v>
      </c>
    </row>
    <row r="138" spans="7:11" x14ac:dyDescent="0.3">
      <c r="G138">
        <v>6</v>
      </c>
      <c r="H138">
        <v>1</v>
      </c>
      <c r="J138">
        <v>8</v>
      </c>
      <c r="K138">
        <v>5</v>
      </c>
    </row>
    <row r="139" spans="7:11" x14ac:dyDescent="0.3">
      <c r="G139">
        <v>6</v>
      </c>
      <c r="H139">
        <v>3</v>
      </c>
      <c r="J139">
        <v>7</v>
      </c>
      <c r="K139">
        <v>4</v>
      </c>
    </row>
    <row r="140" spans="7:11" x14ac:dyDescent="0.3">
      <c r="G140">
        <v>5</v>
      </c>
      <c r="H140">
        <v>2</v>
      </c>
      <c r="J140">
        <v>4</v>
      </c>
      <c r="K140">
        <v>7</v>
      </c>
    </row>
    <row r="141" spans="7:11" x14ac:dyDescent="0.3">
      <c r="G141">
        <v>1</v>
      </c>
      <c r="H141">
        <v>2</v>
      </c>
      <c r="J141">
        <v>2</v>
      </c>
      <c r="K141">
        <v>6</v>
      </c>
    </row>
    <row r="142" spans="7:11" x14ac:dyDescent="0.3">
      <c r="G142">
        <v>3</v>
      </c>
      <c r="H142">
        <v>5</v>
      </c>
      <c r="J142">
        <v>6</v>
      </c>
      <c r="K142">
        <v>1</v>
      </c>
    </row>
    <row r="143" spans="7:11" x14ac:dyDescent="0.3">
      <c r="G143">
        <v>2</v>
      </c>
      <c r="H143">
        <v>2</v>
      </c>
      <c r="J143">
        <v>2</v>
      </c>
      <c r="K143">
        <v>5</v>
      </c>
    </row>
    <row r="144" spans="7:11" x14ac:dyDescent="0.3">
      <c r="G144">
        <v>4</v>
      </c>
      <c r="H144">
        <v>6</v>
      </c>
      <c r="J144">
        <v>1</v>
      </c>
      <c r="K144">
        <v>4</v>
      </c>
    </row>
    <row r="145" spans="7:11" x14ac:dyDescent="0.3">
      <c r="G145">
        <v>4</v>
      </c>
      <c r="H145">
        <v>7</v>
      </c>
      <c r="J145">
        <v>1</v>
      </c>
      <c r="K145">
        <v>4</v>
      </c>
    </row>
    <row r="146" spans="7:11" x14ac:dyDescent="0.3">
      <c r="G146">
        <v>3</v>
      </c>
      <c r="H146">
        <v>5</v>
      </c>
      <c r="J146">
        <v>7</v>
      </c>
      <c r="K146">
        <v>2</v>
      </c>
    </row>
    <row r="147" spans="7:11" x14ac:dyDescent="0.3">
      <c r="G147">
        <v>1</v>
      </c>
      <c r="H147">
        <v>1</v>
      </c>
      <c r="J147">
        <v>6</v>
      </c>
      <c r="K147">
        <v>1</v>
      </c>
    </row>
    <row r="148" spans="7:11" x14ac:dyDescent="0.3">
      <c r="G148">
        <v>2</v>
      </c>
      <c r="H148">
        <v>2</v>
      </c>
      <c r="J148">
        <v>4</v>
      </c>
      <c r="K148">
        <v>1</v>
      </c>
    </row>
    <row r="149" spans="7:11" x14ac:dyDescent="0.3">
      <c r="G149">
        <v>3</v>
      </c>
      <c r="H149">
        <v>3</v>
      </c>
      <c r="J149">
        <v>5</v>
      </c>
      <c r="K149">
        <v>4</v>
      </c>
    </row>
    <row r="150" spans="7:11" x14ac:dyDescent="0.3">
      <c r="G150">
        <v>5</v>
      </c>
      <c r="H150">
        <v>1</v>
      </c>
      <c r="J150">
        <v>8</v>
      </c>
      <c r="K150">
        <v>1</v>
      </c>
    </row>
    <row r="151" spans="7:11" x14ac:dyDescent="0.3">
      <c r="G151">
        <v>1</v>
      </c>
      <c r="H151">
        <v>3</v>
      </c>
      <c r="J151">
        <v>3</v>
      </c>
      <c r="K151">
        <v>4</v>
      </c>
    </row>
    <row r="152" spans="7:11" x14ac:dyDescent="0.3">
      <c r="G152">
        <v>6</v>
      </c>
      <c r="H152">
        <v>3</v>
      </c>
      <c r="J152">
        <v>5</v>
      </c>
      <c r="K152">
        <v>5</v>
      </c>
    </row>
    <row r="153" spans="7:11" x14ac:dyDescent="0.3">
      <c r="G153">
        <v>7</v>
      </c>
      <c r="H153">
        <v>1</v>
      </c>
      <c r="J153">
        <v>1</v>
      </c>
      <c r="K153">
        <v>4</v>
      </c>
    </row>
    <row r="154" spans="7:11" x14ac:dyDescent="0.3">
      <c r="G154">
        <v>9</v>
      </c>
      <c r="H154">
        <v>6</v>
      </c>
      <c r="J154">
        <v>5</v>
      </c>
      <c r="K154">
        <v>4</v>
      </c>
    </row>
    <row r="155" spans="7:11" x14ac:dyDescent="0.3">
      <c r="G155">
        <v>1</v>
      </c>
      <c r="H155">
        <v>2</v>
      </c>
      <c r="J155">
        <v>7</v>
      </c>
      <c r="K155">
        <v>7</v>
      </c>
    </row>
    <row r="156" spans="7:11" x14ac:dyDescent="0.3">
      <c r="G156">
        <v>7</v>
      </c>
      <c r="H156">
        <v>2</v>
      </c>
      <c r="J156">
        <v>3</v>
      </c>
      <c r="K156">
        <v>5</v>
      </c>
    </row>
    <row r="157" spans="7:11" x14ac:dyDescent="0.3">
      <c r="G157">
        <v>4</v>
      </c>
      <c r="H157">
        <v>3</v>
      </c>
      <c r="J157">
        <v>5</v>
      </c>
      <c r="K157">
        <v>1</v>
      </c>
    </row>
    <row r="158" spans="7:11" x14ac:dyDescent="0.3">
      <c r="G158">
        <v>7</v>
      </c>
      <c r="H158">
        <v>2</v>
      </c>
      <c r="J158">
        <v>9</v>
      </c>
      <c r="K158">
        <v>5</v>
      </c>
    </row>
    <row r="159" spans="7:11" x14ac:dyDescent="0.3">
      <c r="G159">
        <v>7</v>
      </c>
      <c r="H159">
        <v>3</v>
      </c>
      <c r="J159">
        <v>6</v>
      </c>
      <c r="K159">
        <v>1</v>
      </c>
    </row>
    <row r="160" spans="7:11" x14ac:dyDescent="0.3">
      <c r="G160">
        <v>6</v>
      </c>
      <c r="H160">
        <v>4</v>
      </c>
      <c r="J160">
        <v>1</v>
      </c>
      <c r="K160">
        <v>1</v>
      </c>
    </row>
    <row r="161" spans="7:11" x14ac:dyDescent="0.3">
      <c r="G161">
        <v>8</v>
      </c>
      <c r="H161">
        <v>4</v>
      </c>
      <c r="J161">
        <v>4</v>
      </c>
      <c r="K161">
        <v>3</v>
      </c>
    </row>
    <row r="162" spans="7:11" x14ac:dyDescent="0.3">
      <c r="G162">
        <v>3</v>
      </c>
      <c r="H162">
        <v>1</v>
      </c>
      <c r="J162">
        <v>2</v>
      </c>
      <c r="K162">
        <v>4</v>
      </c>
    </row>
    <row r="163" spans="7:11" x14ac:dyDescent="0.3">
      <c r="G163">
        <v>4</v>
      </c>
      <c r="H163">
        <v>5</v>
      </c>
      <c r="J163">
        <v>3</v>
      </c>
      <c r="K163">
        <v>1</v>
      </c>
    </row>
    <row r="164" spans="7:11" x14ac:dyDescent="0.3">
      <c r="G164">
        <v>7</v>
      </c>
      <c r="H164">
        <v>9</v>
      </c>
      <c r="J164">
        <v>1</v>
      </c>
      <c r="K164">
        <v>5</v>
      </c>
    </row>
    <row r="165" spans="7:11" x14ac:dyDescent="0.3">
      <c r="G165">
        <v>4</v>
      </c>
      <c r="H165">
        <v>2</v>
      </c>
      <c r="J165">
        <v>9</v>
      </c>
      <c r="K165">
        <v>3</v>
      </c>
    </row>
    <row r="166" spans="7:11" x14ac:dyDescent="0.3">
      <c r="G166">
        <v>4</v>
      </c>
      <c r="H166">
        <v>5</v>
      </c>
      <c r="J166">
        <v>5</v>
      </c>
      <c r="K166">
        <v>1</v>
      </c>
    </row>
    <row r="167" spans="7:11" x14ac:dyDescent="0.3">
      <c r="G167">
        <v>6</v>
      </c>
      <c r="H167">
        <v>5</v>
      </c>
      <c r="J167">
        <v>2</v>
      </c>
      <c r="K167">
        <v>5</v>
      </c>
    </row>
    <row r="168" spans="7:11" x14ac:dyDescent="0.3">
      <c r="G168">
        <v>3</v>
      </c>
      <c r="H168">
        <v>5</v>
      </c>
      <c r="J168">
        <v>2</v>
      </c>
      <c r="K168">
        <v>4</v>
      </c>
    </row>
    <row r="169" spans="7:11" x14ac:dyDescent="0.3">
      <c r="G169">
        <v>6</v>
      </c>
      <c r="H169">
        <v>5</v>
      </c>
      <c r="J169">
        <v>6</v>
      </c>
      <c r="K169">
        <v>5</v>
      </c>
    </row>
    <row r="170" spans="7:11" x14ac:dyDescent="0.3">
      <c r="G170">
        <v>8</v>
      </c>
      <c r="H170">
        <v>5</v>
      </c>
      <c r="J170">
        <v>7</v>
      </c>
      <c r="K170">
        <v>7</v>
      </c>
    </row>
    <row r="171" spans="7:11" x14ac:dyDescent="0.3">
      <c r="G171">
        <v>4</v>
      </c>
      <c r="H171">
        <v>5</v>
      </c>
      <c r="J171">
        <v>3</v>
      </c>
      <c r="K171">
        <v>6</v>
      </c>
    </row>
    <row r="172" spans="7:11" x14ac:dyDescent="0.3">
      <c r="G172">
        <v>5</v>
      </c>
      <c r="H172">
        <v>2</v>
      </c>
      <c r="J172">
        <v>6</v>
      </c>
      <c r="K172">
        <v>5</v>
      </c>
    </row>
    <row r="173" spans="7:11" x14ac:dyDescent="0.3">
      <c r="G173">
        <v>6</v>
      </c>
      <c r="H173">
        <v>4</v>
      </c>
      <c r="J173">
        <v>5</v>
      </c>
      <c r="K173">
        <v>4</v>
      </c>
    </row>
    <row r="174" spans="7:11" x14ac:dyDescent="0.3">
      <c r="G174">
        <v>7</v>
      </c>
      <c r="H174">
        <v>9</v>
      </c>
      <c r="J174">
        <v>6</v>
      </c>
      <c r="K174">
        <v>3</v>
      </c>
    </row>
    <row r="175" spans="7:11" x14ac:dyDescent="0.3">
      <c r="G175">
        <v>6</v>
      </c>
      <c r="H175">
        <v>3</v>
      </c>
      <c r="J175">
        <v>5</v>
      </c>
      <c r="K175">
        <v>2</v>
      </c>
    </row>
    <row r="176" spans="7:11" x14ac:dyDescent="0.3">
      <c r="G176">
        <v>1</v>
      </c>
      <c r="H176">
        <v>4</v>
      </c>
      <c r="J176">
        <v>3</v>
      </c>
      <c r="K176">
        <v>8</v>
      </c>
    </row>
    <row r="177" spans="7:11" x14ac:dyDescent="0.3">
      <c r="G177">
        <v>3</v>
      </c>
      <c r="H177">
        <v>2</v>
      </c>
      <c r="J177">
        <v>3</v>
      </c>
      <c r="K177">
        <v>7</v>
      </c>
    </row>
    <row r="178" spans="7:11" x14ac:dyDescent="0.3">
      <c r="G178">
        <v>8</v>
      </c>
      <c r="H178">
        <v>1</v>
      </c>
      <c r="J178">
        <v>4</v>
      </c>
      <c r="K178">
        <v>4</v>
      </c>
    </row>
    <row r="179" spans="7:11" x14ac:dyDescent="0.3">
      <c r="G179">
        <v>5</v>
      </c>
      <c r="H179">
        <v>6</v>
      </c>
      <c r="J179">
        <v>6</v>
      </c>
      <c r="K179">
        <v>7</v>
      </c>
    </row>
    <row r="180" spans="7:11" x14ac:dyDescent="0.3">
      <c r="G180">
        <v>9</v>
      </c>
      <c r="H180">
        <v>8</v>
      </c>
      <c r="J180">
        <v>7</v>
      </c>
      <c r="K180">
        <v>3</v>
      </c>
    </row>
    <row r="181" spans="7:11" x14ac:dyDescent="0.3">
      <c r="G181">
        <v>4</v>
      </c>
      <c r="H181">
        <v>5</v>
      </c>
      <c r="J181">
        <v>6</v>
      </c>
      <c r="K181">
        <v>4</v>
      </c>
    </row>
    <row r="182" spans="7:11" x14ac:dyDescent="0.3">
      <c r="G182">
        <v>6</v>
      </c>
      <c r="H182">
        <v>4</v>
      </c>
      <c r="J182">
        <v>1</v>
      </c>
      <c r="K182">
        <v>4</v>
      </c>
    </row>
    <row r="183" spans="7:11" x14ac:dyDescent="0.3">
      <c r="G183">
        <v>6</v>
      </c>
      <c r="H183">
        <v>3</v>
      </c>
      <c r="J183">
        <v>8</v>
      </c>
      <c r="K183">
        <v>1</v>
      </c>
    </row>
    <row r="184" spans="7:11" x14ac:dyDescent="0.3">
      <c r="G184">
        <v>4</v>
      </c>
      <c r="H184">
        <v>1</v>
      </c>
      <c r="J184">
        <v>4</v>
      </c>
      <c r="K184">
        <v>8</v>
      </c>
    </row>
    <row r="185" spans="7:11" x14ac:dyDescent="0.3">
      <c r="G185">
        <v>3</v>
      </c>
      <c r="H185">
        <v>5</v>
      </c>
      <c r="J185">
        <v>5</v>
      </c>
      <c r="K185">
        <v>2</v>
      </c>
    </row>
    <row r="186" spans="7:11" x14ac:dyDescent="0.3">
      <c r="G186">
        <v>7</v>
      </c>
      <c r="H186">
        <v>4</v>
      </c>
      <c r="J186">
        <v>7</v>
      </c>
      <c r="K186">
        <v>6</v>
      </c>
    </row>
    <row r="187" spans="7:11" x14ac:dyDescent="0.3">
      <c r="G187">
        <v>3</v>
      </c>
      <c r="H187">
        <v>4</v>
      </c>
      <c r="J187">
        <v>6</v>
      </c>
      <c r="K187">
        <v>1</v>
      </c>
    </row>
    <row r="188" spans="7:11" x14ac:dyDescent="0.3">
      <c r="G188">
        <v>10</v>
      </c>
      <c r="H188">
        <v>5</v>
      </c>
      <c r="J188">
        <v>4</v>
      </c>
      <c r="K188">
        <v>2</v>
      </c>
    </row>
    <row r="189" spans="7:11" x14ac:dyDescent="0.3">
      <c r="G189">
        <v>6</v>
      </c>
      <c r="H189">
        <v>2</v>
      </c>
      <c r="J189">
        <v>3</v>
      </c>
      <c r="K189">
        <v>3</v>
      </c>
    </row>
    <row r="190" spans="7:11" x14ac:dyDescent="0.3">
      <c r="G190">
        <v>8</v>
      </c>
      <c r="H190">
        <v>4</v>
      </c>
      <c r="J190">
        <v>3</v>
      </c>
      <c r="K190">
        <v>3</v>
      </c>
    </row>
    <row r="191" spans="7:11" x14ac:dyDescent="0.3">
      <c r="G191">
        <v>4</v>
      </c>
      <c r="H191">
        <v>6</v>
      </c>
      <c r="J191">
        <v>5</v>
      </c>
      <c r="K191">
        <v>3</v>
      </c>
    </row>
    <row r="192" spans="7:11" x14ac:dyDescent="0.3">
      <c r="G192">
        <v>7</v>
      </c>
      <c r="H192">
        <v>4</v>
      </c>
      <c r="J192">
        <v>4</v>
      </c>
      <c r="K192">
        <v>2</v>
      </c>
    </row>
    <row r="193" spans="7:11" x14ac:dyDescent="0.3">
      <c r="G193">
        <v>8</v>
      </c>
      <c r="H193">
        <v>5</v>
      </c>
      <c r="J193">
        <v>1</v>
      </c>
      <c r="K193">
        <v>4</v>
      </c>
    </row>
    <row r="194" spans="7:11" x14ac:dyDescent="0.3">
      <c r="G194">
        <v>3</v>
      </c>
      <c r="H194">
        <v>4</v>
      </c>
      <c r="J194">
        <v>2</v>
      </c>
      <c r="K194">
        <v>5</v>
      </c>
    </row>
    <row r="195" spans="7:11" x14ac:dyDescent="0.3">
      <c r="G195">
        <v>9</v>
      </c>
      <c r="H195">
        <v>7</v>
      </c>
      <c r="J195">
        <v>6</v>
      </c>
      <c r="K195">
        <v>4</v>
      </c>
    </row>
    <row r="196" spans="7:11" x14ac:dyDescent="0.3">
      <c r="G196">
        <v>10</v>
      </c>
      <c r="H196">
        <v>5</v>
      </c>
      <c r="J196">
        <v>5</v>
      </c>
      <c r="K196">
        <v>3</v>
      </c>
    </row>
    <row r="197" spans="7:11" x14ac:dyDescent="0.3">
      <c r="G197">
        <v>7</v>
      </c>
      <c r="H197">
        <v>1</v>
      </c>
      <c r="J197">
        <v>5</v>
      </c>
      <c r="K197">
        <v>4</v>
      </c>
    </row>
    <row r="198" spans="7:11" x14ac:dyDescent="0.3">
      <c r="G198">
        <v>3</v>
      </c>
      <c r="H198">
        <v>1</v>
      </c>
      <c r="J198">
        <v>2</v>
      </c>
      <c r="K198">
        <v>7</v>
      </c>
    </row>
    <row r="199" spans="7:11" x14ac:dyDescent="0.3">
      <c r="G199">
        <v>5</v>
      </c>
      <c r="H199">
        <v>4</v>
      </c>
      <c r="J199">
        <v>3</v>
      </c>
      <c r="K199">
        <v>9</v>
      </c>
    </row>
    <row r="200" spans="7:11" x14ac:dyDescent="0.3">
      <c r="G200">
        <v>8</v>
      </c>
      <c r="H200">
        <v>7</v>
      </c>
      <c r="J200">
        <v>1</v>
      </c>
      <c r="K200">
        <v>1</v>
      </c>
    </row>
    <row r="201" spans="7:11" x14ac:dyDescent="0.3">
      <c r="G201">
        <v>10</v>
      </c>
      <c r="H201">
        <v>4</v>
      </c>
      <c r="J201">
        <v>6</v>
      </c>
      <c r="K201">
        <v>2</v>
      </c>
    </row>
    <row r="202" spans="7:11" x14ac:dyDescent="0.3">
      <c r="G202">
        <v>2</v>
      </c>
      <c r="H202">
        <v>1</v>
      </c>
      <c r="J202">
        <v>4</v>
      </c>
      <c r="K202">
        <v>1</v>
      </c>
    </row>
    <row r="203" spans="7:11" x14ac:dyDescent="0.3">
      <c r="G203">
        <v>6</v>
      </c>
      <c r="H203">
        <v>1</v>
      </c>
      <c r="J203">
        <v>1</v>
      </c>
      <c r="K203">
        <v>2</v>
      </c>
    </row>
    <row r="204" spans="7:11" x14ac:dyDescent="0.3">
      <c r="G204">
        <v>7</v>
      </c>
      <c r="H204">
        <v>5</v>
      </c>
      <c r="J204">
        <v>5</v>
      </c>
      <c r="K204">
        <v>5</v>
      </c>
    </row>
    <row r="205" spans="7:11" x14ac:dyDescent="0.3">
      <c r="G205">
        <v>3</v>
      </c>
      <c r="H205">
        <v>2</v>
      </c>
      <c r="J205">
        <v>3</v>
      </c>
      <c r="K205">
        <v>7</v>
      </c>
    </row>
    <row r="206" spans="7:11" x14ac:dyDescent="0.3">
      <c r="G206">
        <v>10</v>
      </c>
      <c r="H206">
        <v>2</v>
      </c>
      <c r="J206">
        <v>2</v>
      </c>
      <c r="K206">
        <v>6</v>
      </c>
    </row>
    <row r="207" spans="7:11" x14ac:dyDescent="0.3">
      <c r="G207">
        <v>6</v>
      </c>
      <c r="H207">
        <v>3</v>
      </c>
      <c r="J207">
        <v>2</v>
      </c>
      <c r="K207">
        <v>1</v>
      </c>
    </row>
    <row r="208" spans="7:11" x14ac:dyDescent="0.3">
      <c r="G208">
        <v>9</v>
      </c>
      <c r="H208">
        <v>1</v>
      </c>
      <c r="J208">
        <v>5</v>
      </c>
      <c r="K208">
        <v>4</v>
      </c>
    </row>
    <row r="209" spans="7:11" x14ac:dyDescent="0.3">
      <c r="G209">
        <v>8</v>
      </c>
      <c r="H209">
        <v>5</v>
      </c>
      <c r="J209">
        <v>4</v>
      </c>
      <c r="K209">
        <v>1</v>
      </c>
    </row>
    <row r="210" spans="7:11" x14ac:dyDescent="0.3">
      <c r="G210">
        <v>8</v>
      </c>
      <c r="H210">
        <v>5</v>
      </c>
      <c r="J210">
        <v>4</v>
      </c>
      <c r="K210">
        <v>2</v>
      </c>
    </row>
    <row r="211" spans="7:11" x14ac:dyDescent="0.3">
      <c r="G211">
        <v>7</v>
      </c>
      <c r="H211">
        <v>1</v>
      </c>
      <c r="J211">
        <v>8</v>
      </c>
      <c r="K211">
        <v>5</v>
      </c>
    </row>
    <row r="212" spans="7:11" x14ac:dyDescent="0.3">
      <c r="H212">
        <v>2</v>
      </c>
      <c r="J212">
        <v>6</v>
      </c>
      <c r="K212">
        <v>1</v>
      </c>
    </row>
    <row r="213" spans="7:11" x14ac:dyDescent="0.3">
      <c r="H213">
        <v>2</v>
      </c>
      <c r="J213">
        <v>6</v>
      </c>
      <c r="K213">
        <v>5</v>
      </c>
    </row>
    <row r="214" spans="7:11" x14ac:dyDescent="0.3">
      <c r="H214">
        <v>7</v>
      </c>
      <c r="J214">
        <v>7</v>
      </c>
      <c r="K214">
        <v>6</v>
      </c>
    </row>
    <row r="215" spans="7:11" x14ac:dyDescent="0.3">
      <c r="H215">
        <v>2</v>
      </c>
      <c r="J215">
        <v>6</v>
      </c>
      <c r="K215">
        <v>8</v>
      </c>
    </row>
    <row r="216" spans="7:11" x14ac:dyDescent="0.3">
      <c r="H216">
        <v>6</v>
      </c>
      <c r="J216">
        <v>7</v>
      </c>
      <c r="K216">
        <v>1</v>
      </c>
    </row>
    <row r="217" spans="7:11" x14ac:dyDescent="0.3">
      <c r="H217">
        <v>3</v>
      </c>
      <c r="J217">
        <v>4</v>
      </c>
      <c r="K217">
        <v>8</v>
      </c>
    </row>
    <row r="218" spans="7:11" x14ac:dyDescent="0.3">
      <c r="H218">
        <v>1</v>
      </c>
      <c r="J218">
        <v>5</v>
      </c>
      <c r="K218">
        <v>1</v>
      </c>
    </row>
    <row r="219" spans="7:11" x14ac:dyDescent="0.3">
      <c r="H219">
        <v>5</v>
      </c>
      <c r="J219">
        <v>4</v>
      </c>
      <c r="K219">
        <v>3</v>
      </c>
    </row>
    <row r="220" spans="7:11" x14ac:dyDescent="0.3">
      <c r="H220">
        <v>5</v>
      </c>
      <c r="J220">
        <v>2</v>
      </c>
      <c r="K220">
        <v>5</v>
      </c>
    </row>
    <row r="221" spans="7:11" x14ac:dyDescent="0.3">
      <c r="H221">
        <v>3</v>
      </c>
      <c r="J221">
        <v>6</v>
      </c>
      <c r="K221">
        <v>7</v>
      </c>
    </row>
    <row r="222" spans="7:11" x14ac:dyDescent="0.3">
      <c r="H222">
        <v>4</v>
      </c>
      <c r="J222">
        <v>5</v>
      </c>
      <c r="K222">
        <v>5</v>
      </c>
    </row>
    <row r="223" spans="7:11" x14ac:dyDescent="0.3">
      <c r="H223">
        <v>6</v>
      </c>
      <c r="J223">
        <v>3</v>
      </c>
      <c r="K223">
        <v>7</v>
      </c>
    </row>
    <row r="224" spans="7:11" x14ac:dyDescent="0.3">
      <c r="H224">
        <v>4</v>
      </c>
      <c r="J224">
        <v>6</v>
      </c>
      <c r="K224">
        <v>8</v>
      </c>
    </row>
    <row r="225" spans="8:11" x14ac:dyDescent="0.3">
      <c r="H225">
        <v>3</v>
      </c>
      <c r="J225">
        <v>1</v>
      </c>
      <c r="K225">
        <v>4</v>
      </c>
    </row>
    <row r="226" spans="8:11" x14ac:dyDescent="0.3">
      <c r="H226">
        <v>2</v>
      </c>
      <c r="J226">
        <v>1</v>
      </c>
      <c r="K226">
        <v>2</v>
      </c>
    </row>
    <row r="227" spans="8:11" x14ac:dyDescent="0.3">
      <c r="H227">
        <v>4</v>
      </c>
      <c r="J227">
        <v>5</v>
      </c>
      <c r="K227">
        <v>7</v>
      </c>
    </row>
    <row r="228" spans="8:11" x14ac:dyDescent="0.3">
      <c r="H228">
        <v>7</v>
      </c>
      <c r="J228">
        <v>1</v>
      </c>
      <c r="K228">
        <v>7</v>
      </c>
    </row>
    <row r="229" spans="8:11" x14ac:dyDescent="0.3">
      <c r="H229">
        <v>4</v>
      </c>
      <c r="J229">
        <v>8</v>
      </c>
      <c r="K229">
        <v>1</v>
      </c>
    </row>
    <row r="230" spans="8:11" x14ac:dyDescent="0.3">
      <c r="H230">
        <v>1</v>
      </c>
      <c r="J230">
        <v>6</v>
      </c>
      <c r="K230">
        <v>4</v>
      </c>
    </row>
    <row r="231" spans="8:11" x14ac:dyDescent="0.3">
      <c r="H231">
        <v>7</v>
      </c>
      <c r="J231">
        <v>9</v>
      </c>
      <c r="K231">
        <v>6</v>
      </c>
    </row>
    <row r="232" spans="8:11" x14ac:dyDescent="0.3">
      <c r="H232">
        <v>3</v>
      </c>
      <c r="J232">
        <v>4</v>
      </c>
      <c r="K232">
        <v>5</v>
      </c>
    </row>
    <row r="233" spans="8:11" x14ac:dyDescent="0.3">
      <c r="H233">
        <v>5</v>
      </c>
      <c r="J233">
        <v>3</v>
      </c>
      <c r="K233">
        <v>4</v>
      </c>
    </row>
    <row r="234" spans="8:11" x14ac:dyDescent="0.3">
      <c r="H234">
        <v>4</v>
      </c>
      <c r="J234">
        <v>5</v>
      </c>
      <c r="K234">
        <v>7</v>
      </c>
    </row>
    <row r="235" spans="8:11" x14ac:dyDescent="0.3">
      <c r="H235">
        <v>4</v>
      </c>
      <c r="J235">
        <v>2</v>
      </c>
      <c r="K235">
        <v>6</v>
      </c>
    </row>
    <row r="236" spans="8:11" x14ac:dyDescent="0.3">
      <c r="H236">
        <v>8</v>
      </c>
      <c r="J236">
        <v>2</v>
      </c>
      <c r="K236">
        <v>9</v>
      </c>
    </row>
    <row r="237" spans="8:11" x14ac:dyDescent="0.3">
      <c r="H237">
        <v>1</v>
      </c>
      <c r="J237">
        <v>5</v>
      </c>
      <c r="K237">
        <v>5</v>
      </c>
    </row>
    <row r="238" spans="8:11" x14ac:dyDescent="0.3">
      <c r="H238">
        <v>2</v>
      </c>
      <c r="J238">
        <v>4</v>
      </c>
      <c r="K238">
        <v>5</v>
      </c>
    </row>
    <row r="239" spans="8:11" x14ac:dyDescent="0.3">
      <c r="H239">
        <v>1</v>
      </c>
      <c r="J239">
        <v>5</v>
      </c>
      <c r="K239">
        <v>6</v>
      </c>
    </row>
    <row r="240" spans="8:11" x14ac:dyDescent="0.3">
      <c r="H240">
        <v>6</v>
      </c>
      <c r="J240">
        <v>5</v>
      </c>
      <c r="K240">
        <v>4</v>
      </c>
    </row>
    <row r="241" spans="8:11" x14ac:dyDescent="0.3">
      <c r="H241">
        <v>2</v>
      </c>
      <c r="J241">
        <v>1</v>
      </c>
      <c r="K241">
        <v>7</v>
      </c>
    </row>
    <row r="242" spans="8:11" x14ac:dyDescent="0.3">
      <c r="H242">
        <v>3</v>
      </c>
      <c r="J242">
        <v>4</v>
      </c>
      <c r="K242">
        <v>5</v>
      </c>
    </row>
    <row r="243" spans="8:11" x14ac:dyDescent="0.3">
      <c r="H243">
        <v>3</v>
      </c>
      <c r="J243">
        <v>1</v>
      </c>
      <c r="K243">
        <v>2</v>
      </c>
    </row>
    <row r="244" spans="8:11" x14ac:dyDescent="0.3">
      <c r="H244">
        <v>5</v>
      </c>
      <c r="J244">
        <v>5</v>
      </c>
      <c r="K244">
        <v>3</v>
      </c>
    </row>
    <row r="245" spans="8:11" x14ac:dyDescent="0.3">
      <c r="H245">
        <v>3</v>
      </c>
      <c r="J245">
        <v>5</v>
      </c>
      <c r="K245">
        <v>1</v>
      </c>
    </row>
    <row r="246" spans="8:11" x14ac:dyDescent="0.3">
      <c r="H246">
        <v>2</v>
      </c>
      <c r="J246">
        <v>6</v>
      </c>
      <c r="K246">
        <v>4</v>
      </c>
    </row>
    <row r="247" spans="8:11" x14ac:dyDescent="0.3">
      <c r="H247">
        <v>4</v>
      </c>
      <c r="J247">
        <v>1</v>
      </c>
      <c r="K247">
        <v>3</v>
      </c>
    </row>
    <row r="248" spans="8:11" x14ac:dyDescent="0.3">
      <c r="H248">
        <v>6</v>
      </c>
      <c r="J248">
        <v>1</v>
      </c>
      <c r="K248">
        <v>5</v>
      </c>
    </row>
    <row r="249" spans="8:11" x14ac:dyDescent="0.3">
      <c r="H249">
        <v>5</v>
      </c>
      <c r="J249">
        <v>1</v>
      </c>
      <c r="K249">
        <v>6</v>
      </c>
    </row>
    <row r="250" spans="8:11" x14ac:dyDescent="0.3">
      <c r="H250">
        <v>6</v>
      </c>
      <c r="J250">
        <v>8</v>
      </c>
      <c r="K250">
        <v>2</v>
      </c>
    </row>
    <row r="251" spans="8:11" x14ac:dyDescent="0.3">
      <c r="H251">
        <v>4</v>
      </c>
      <c r="J251">
        <v>7</v>
      </c>
      <c r="K251">
        <v>6</v>
      </c>
    </row>
    <row r="252" spans="8:11" x14ac:dyDescent="0.3">
      <c r="H252">
        <v>2</v>
      </c>
      <c r="J252">
        <v>6</v>
      </c>
      <c r="K252">
        <v>6</v>
      </c>
    </row>
    <row r="253" spans="8:11" x14ac:dyDescent="0.3">
      <c r="H253">
        <v>4</v>
      </c>
      <c r="J253">
        <v>2</v>
      </c>
      <c r="K253">
        <v>3</v>
      </c>
    </row>
    <row r="254" spans="8:11" x14ac:dyDescent="0.3">
      <c r="H254">
        <v>4</v>
      </c>
      <c r="J254">
        <v>1</v>
      </c>
      <c r="K254">
        <v>3</v>
      </c>
    </row>
    <row r="255" spans="8:11" x14ac:dyDescent="0.3">
      <c r="H255">
        <v>3</v>
      </c>
      <c r="J255">
        <v>4</v>
      </c>
      <c r="K255">
        <v>6</v>
      </c>
    </row>
    <row r="256" spans="8:11" x14ac:dyDescent="0.3">
      <c r="H256">
        <v>1</v>
      </c>
      <c r="J256">
        <v>1</v>
      </c>
      <c r="K256">
        <v>7</v>
      </c>
    </row>
    <row r="257" spans="8:11" x14ac:dyDescent="0.3">
      <c r="H257">
        <v>6</v>
      </c>
      <c r="J257">
        <v>1</v>
      </c>
      <c r="K257">
        <v>2</v>
      </c>
    </row>
    <row r="258" spans="8:11" x14ac:dyDescent="0.3">
      <c r="H258">
        <v>1</v>
      </c>
      <c r="J258">
        <v>3</v>
      </c>
      <c r="K258">
        <v>3</v>
      </c>
    </row>
    <row r="259" spans="8:11" x14ac:dyDescent="0.3">
      <c r="H259">
        <v>4</v>
      </c>
      <c r="J259">
        <v>7</v>
      </c>
      <c r="K259">
        <v>3</v>
      </c>
    </row>
    <row r="260" spans="8:11" x14ac:dyDescent="0.3">
      <c r="H260">
        <v>7</v>
      </c>
      <c r="J260">
        <v>2</v>
      </c>
      <c r="K260">
        <v>8</v>
      </c>
    </row>
    <row r="261" spans="8:11" x14ac:dyDescent="0.3">
      <c r="H261">
        <v>1</v>
      </c>
      <c r="J261">
        <v>4</v>
      </c>
      <c r="K261">
        <v>4</v>
      </c>
    </row>
    <row r="262" spans="8:11" x14ac:dyDescent="0.3">
      <c r="H262">
        <v>9</v>
      </c>
      <c r="J262">
        <v>8</v>
      </c>
      <c r="K262">
        <v>3</v>
      </c>
    </row>
    <row r="263" spans="8:11" x14ac:dyDescent="0.3">
      <c r="H263">
        <v>1</v>
      </c>
      <c r="J263">
        <v>2</v>
      </c>
      <c r="K263">
        <v>6</v>
      </c>
    </row>
    <row r="264" spans="8:11" x14ac:dyDescent="0.3">
      <c r="H264">
        <v>2</v>
      </c>
      <c r="J264">
        <v>5</v>
      </c>
      <c r="K264">
        <v>2</v>
      </c>
    </row>
    <row r="265" spans="8:11" x14ac:dyDescent="0.3">
      <c r="H265">
        <v>1</v>
      </c>
      <c r="J265">
        <v>3</v>
      </c>
      <c r="K265">
        <v>4</v>
      </c>
    </row>
    <row r="266" spans="8:11" x14ac:dyDescent="0.3">
      <c r="H266">
        <v>2</v>
      </c>
      <c r="J266">
        <v>4</v>
      </c>
      <c r="K266">
        <v>4</v>
      </c>
    </row>
    <row r="267" spans="8:11" x14ac:dyDescent="0.3">
      <c r="H267">
        <v>5</v>
      </c>
      <c r="J267">
        <v>4</v>
      </c>
      <c r="K267">
        <v>6</v>
      </c>
    </row>
    <row r="268" spans="8:11" x14ac:dyDescent="0.3">
      <c r="H268">
        <v>8</v>
      </c>
      <c r="J268">
        <v>8</v>
      </c>
      <c r="K268">
        <v>1</v>
      </c>
    </row>
    <row r="269" spans="8:11" x14ac:dyDescent="0.3">
      <c r="H269">
        <v>7</v>
      </c>
      <c r="J269">
        <v>5</v>
      </c>
      <c r="K269">
        <v>5</v>
      </c>
    </row>
    <row r="270" spans="8:11" x14ac:dyDescent="0.3">
      <c r="H270">
        <v>6</v>
      </c>
      <c r="J270">
        <v>5</v>
      </c>
      <c r="K270">
        <v>3</v>
      </c>
    </row>
    <row r="271" spans="8:11" x14ac:dyDescent="0.3">
      <c r="H271">
        <v>2</v>
      </c>
      <c r="J271">
        <v>3</v>
      </c>
      <c r="K271">
        <v>5</v>
      </c>
    </row>
    <row r="272" spans="8:11" x14ac:dyDescent="0.3">
      <c r="H272">
        <v>1</v>
      </c>
      <c r="J272">
        <v>5</v>
      </c>
      <c r="K272">
        <v>6</v>
      </c>
    </row>
    <row r="273" spans="8:11" x14ac:dyDescent="0.3">
      <c r="H273">
        <v>4</v>
      </c>
      <c r="J273">
        <v>6</v>
      </c>
      <c r="K273">
        <v>2</v>
      </c>
    </row>
    <row r="274" spans="8:11" x14ac:dyDescent="0.3">
      <c r="H274">
        <v>2</v>
      </c>
      <c r="J274">
        <v>3</v>
      </c>
      <c r="K274">
        <v>1</v>
      </c>
    </row>
    <row r="275" spans="8:11" x14ac:dyDescent="0.3">
      <c r="H275">
        <v>5</v>
      </c>
      <c r="J275">
        <v>8</v>
      </c>
      <c r="K275">
        <v>6</v>
      </c>
    </row>
    <row r="276" spans="8:11" x14ac:dyDescent="0.3">
      <c r="H276">
        <v>3</v>
      </c>
      <c r="J276">
        <v>5</v>
      </c>
      <c r="K276">
        <v>4</v>
      </c>
    </row>
    <row r="277" spans="8:11" x14ac:dyDescent="0.3">
      <c r="H277">
        <v>1</v>
      </c>
      <c r="J277">
        <v>8</v>
      </c>
      <c r="K277">
        <v>2</v>
      </c>
    </row>
    <row r="278" spans="8:11" x14ac:dyDescent="0.3">
      <c r="H278">
        <v>6</v>
      </c>
      <c r="J278">
        <v>1</v>
      </c>
      <c r="K278">
        <v>4</v>
      </c>
    </row>
    <row r="279" spans="8:11" x14ac:dyDescent="0.3">
      <c r="H279">
        <v>8</v>
      </c>
      <c r="J279">
        <v>6</v>
      </c>
      <c r="K279">
        <v>2</v>
      </c>
    </row>
    <row r="280" spans="8:11" x14ac:dyDescent="0.3">
      <c r="H280">
        <v>1</v>
      </c>
      <c r="J280">
        <v>5</v>
      </c>
      <c r="K280">
        <v>5</v>
      </c>
    </row>
    <row r="281" spans="8:11" x14ac:dyDescent="0.3">
      <c r="H281">
        <v>8</v>
      </c>
      <c r="J281">
        <v>6</v>
      </c>
      <c r="K281">
        <v>2</v>
      </c>
    </row>
    <row r="282" spans="8:11" x14ac:dyDescent="0.3">
      <c r="H282">
        <v>3</v>
      </c>
      <c r="J282">
        <v>5</v>
      </c>
      <c r="K282">
        <v>2</v>
      </c>
    </row>
    <row r="283" spans="8:11" x14ac:dyDescent="0.3">
      <c r="H283">
        <v>4</v>
      </c>
      <c r="J283">
        <v>3</v>
      </c>
      <c r="K283">
        <v>1</v>
      </c>
    </row>
    <row r="284" spans="8:11" x14ac:dyDescent="0.3">
      <c r="H284">
        <v>1</v>
      </c>
      <c r="J284">
        <v>8</v>
      </c>
      <c r="K284">
        <v>3</v>
      </c>
    </row>
    <row r="285" spans="8:11" x14ac:dyDescent="0.3">
      <c r="H285">
        <v>8</v>
      </c>
      <c r="J285">
        <v>1</v>
      </c>
      <c r="K285">
        <v>5</v>
      </c>
    </row>
    <row r="286" spans="8:11" x14ac:dyDescent="0.3">
      <c r="H286">
        <v>8</v>
      </c>
      <c r="J286">
        <v>5</v>
      </c>
      <c r="K286">
        <v>4</v>
      </c>
    </row>
    <row r="287" spans="8:11" x14ac:dyDescent="0.3">
      <c r="H287">
        <v>3</v>
      </c>
      <c r="J287">
        <v>8</v>
      </c>
      <c r="K287">
        <v>3</v>
      </c>
    </row>
    <row r="288" spans="8:11" x14ac:dyDescent="0.3">
      <c r="H288">
        <v>5</v>
      </c>
      <c r="J288">
        <v>6</v>
      </c>
      <c r="K288">
        <v>7</v>
      </c>
    </row>
    <row r="289" spans="8:11" x14ac:dyDescent="0.3">
      <c r="H289">
        <v>4</v>
      </c>
      <c r="J289">
        <v>9</v>
      </c>
      <c r="K289">
        <v>2</v>
      </c>
    </row>
    <row r="290" spans="8:11" x14ac:dyDescent="0.3">
      <c r="H290">
        <v>5</v>
      </c>
      <c r="J290">
        <v>4</v>
      </c>
      <c r="K290">
        <v>3</v>
      </c>
    </row>
    <row r="291" spans="8:11" x14ac:dyDescent="0.3">
      <c r="H291">
        <v>7</v>
      </c>
      <c r="J291">
        <v>4</v>
      </c>
      <c r="K291">
        <v>2</v>
      </c>
    </row>
    <row r="292" spans="8:11" x14ac:dyDescent="0.3">
      <c r="H292">
        <v>6</v>
      </c>
      <c r="J292">
        <v>4</v>
      </c>
      <c r="K292">
        <v>3</v>
      </c>
    </row>
    <row r="293" spans="8:11" x14ac:dyDescent="0.3">
      <c r="H293">
        <v>8</v>
      </c>
      <c r="J293">
        <v>6</v>
      </c>
      <c r="K293">
        <v>5</v>
      </c>
    </row>
    <row r="294" spans="8:11" x14ac:dyDescent="0.3">
      <c r="H294">
        <v>2</v>
      </c>
      <c r="J294">
        <v>8</v>
      </c>
      <c r="K294">
        <v>2</v>
      </c>
    </row>
    <row r="295" spans="8:11" x14ac:dyDescent="0.3">
      <c r="H295">
        <v>1</v>
      </c>
      <c r="J295">
        <v>3</v>
      </c>
      <c r="K295">
        <v>1</v>
      </c>
    </row>
    <row r="296" spans="8:11" x14ac:dyDescent="0.3">
      <c r="H296">
        <v>2</v>
      </c>
      <c r="J296">
        <v>6</v>
      </c>
      <c r="K296">
        <v>4</v>
      </c>
    </row>
    <row r="297" spans="8:11" x14ac:dyDescent="0.3">
      <c r="H297">
        <v>7</v>
      </c>
      <c r="J297">
        <v>9</v>
      </c>
      <c r="K297">
        <v>6</v>
      </c>
    </row>
    <row r="298" spans="8:11" x14ac:dyDescent="0.3">
      <c r="H298">
        <v>7</v>
      </c>
      <c r="J298">
        <v>8</v>
      </c>
      <c r="K298">
        <v>8</v>
      </c>
    </row>
    <row r="299" spans="8:11" x14ac:dyDescent="0.3">
      <c r="H299">
        <v>1</v>
      </c>
      <c r="J299">
        <v>2</v>
      </c>
      <c r="K299">
        <v>6</v>
      </c>
    </row>
    <row r="300" spans="8:11" x14ac:dyDescent="0.3">
      <c r="H300">
        <v>5</v>
      </c>
      <c r="J300">
        <v>4</v>
      </c>
      <c r="K300">
        <v>7</v>
      </c>
    </row>
    <row r="301" spans="8:11" x14ac:dyDescent="0.3">
      <c r="H301">
        <v>6</v>
      </c>
      <c r="J301">
        <v>5</v>
      </c>
      <c r="K301">
        <v>1</v>
      </c>
    </row>
    <row r="302" spans="8:11" x14ac:dyDescent="0.3">
      <c r="H302">
        <v>9</v>
      </c>
      <c r="J302">
        <v>5</v>
      </c>
      <c r="K302">
        <v>2</v>
      </c>
    </row>
    <row r="303" spans="8:11" x14ac:dyDescent="0.3">
      <c r="H303">
        <v>4</v>
      </c>
      <c r="J303">
        <v>6</v>
      </c>
      <c r="K303">
        <v>1</v>
      </c>
    </row>
    <row r="304" spans="8:11" x14ac:dyDescent="0.3">
      <c r="H304">
        <v>8</v>
      </c>
      <c r="J304">
        <v>5</v>
      </c>
      <c r="K304">
        <v>4</v>
      </c>
    </row>
    <row r="305" spans="8:11" x14ac:dyDescent="0.3">
      <c r="H305">
        <v>5</v>
      </c>
      <c r="J305">
        <v>5</v>
      </c>
      <c r="K305">
        <v>7</v>
      </c>
    </row>
    <row r="306" spans="8:11" x14ac:dyDescent="0.3">
      <c r="H306">
        <v>6</v>
      </c>
      <c r="J306">
        <v>4</v>
      </c>
      <c r="K306">
        <v>5</v>
      </c>
    </row>
    <row r="307" spans="8:11" x14ac:dyDescent="0.3">
      <c r="H307">
        <v>5</v>
      </c>
      <c r="J307">
        <v>7</v>
      </c>
      <c r="K307">
        <v>2</v>
      </c>
    </row>
    <row r="308" spans="8:11" x14ac:dyDescent="0.3">
      <c r="H308">
        <v>1</v>
      </c>
      <c r="J308">
        <v>6</v>
      </c>
      <c r="K308">
        <v>6</v>
      </c>
    </row>
    <row r="309" spans="8:11" x14ac:dyDescent="0.3">
      <c r="H309">
        <v>7</v>
      </c>
      <c r="J309">
        <v>6</v>
      </c>
      <c r="K309">
        <v>1</v>
      </c>
    </row>
    <row r="310" spans="8:11" x14ac:dyDescent="0.3">
      <c r="H310">
        <v>5</v>
      </c>
      <c r="J310">
        <v>6</v>
      </c>
      <c r="K310">
        <v>5</v>
      </c>
    </row>
    <row r="311" spans="8:11" x14ac:dyDescent="0.3">
      <c r="H311">
        <v>7</v>
      </c>
      <c r="J311">
        <v>2</v>
      </c>
      <c r="K311">
        <v>3</v>
      </c>
    </row>
    <row r="312" spans="8:11" x14ac:dyDescent="0.3">
      <c r="H312">
        <v>2</v>
      </c>
      <c r="J312">
        <v>6</v>
      </c>
      <c r="K312">
        <v>4</v>
      </c>
    </row>
    <row r="313" spans="8:11" x14ac:dyDescent="0.3">
      <c r="H313">
        <v>3</v>
      </c>
      <c r="J313">
        <v>6</v>
      </c>
      <c r="K313">
        <v>4</v>
      </c>
    </row>
    <row r="314" spans="8:11" x14ac:dyDescent="0.3">
      <c r="H314">
        <v>3</v>
      </c>
      <c r="J314">
        <v>7</v>
      </c>
      <c r="K314">
        <v>5</v>
      </c>
    </row>
    <row r="315" spans="8:11" x14ac:dyDescent="0.3">
      <c r="H315">
        <v>3</v>
      </c>
      <c r="J315">
        <v>8</v>
      </c>
      <c r="K315">
        <v>3</v>
      </c>
    </row>
    <row r="316" spans="8:11" x14ac:dyDescent="0.3">
      <c r="H316">
        <v>5</v>
      </c>
      <c r="J316">
        <v>6</v>
      </c>
      <c r="K316">
        <v>5</v>
      </c>
    </row>
    <row r="317" spans="8:11" x14ac:dyDescent="0.3">
      <c r="H317">
        <v>6</v>
      </c>
      <c r="J317">
        <v>7</v>
      </c>
      <c r="K317">
        <v>6</v>
      </c>
    </row>
    <row r="318" spans="8:11" x14ac:dyDescent="0.3">
      <c r="H318">
        <v>2</v>
      </c>
      <c r="J318">
        <v>1</v>
      </c>
      <c r="K318">
        <v>3</v>
      </c>
    </row>
    <row r="319" spans="8:11" x14ac:dyDescent="0.3">
      <c r="H319">
        <v>5</v>
      </c>
      <c r="J319">
        <v>5</v>
      </c>
      <c r="K319">
        <v>7</v>
      </c>
    </row>
    <row r="320" spans="8:11" x14ac:dyDescent="0.3">
      <c r="H320">
        <v>6</v>
      </c>
      <c r="J320">
        <v>7</v>
      </c>
      <c r="K320">
        <v>5</v>
      </c>
    </row>
    <row r="321" spans="8:11" x14ac:dyDescent="0.3">
      <c r="H321">
        <v>3</v>
      </c>
      <c r="J321">
        <v>3</v>
      </c>
      <c r="K321">
        <v>4</v>
      </c>
    </row>
    <row r="322" spans="8:11" x14ac:dyDescent="0.3">
      <c r="H322">
        <v>3</v>
      </c>
      <c r="J322">
        <v>6</v>
      </c>
      <c r="K322">
        <v>6</v>
      </c>
    </row>
    <row r="323" spans="8:11" x14ac:dyDescent="0.3">
      <c r="H323">
        <v>6</v>
      </c>
      <c r="J323">
        <v>5</v>
      </c>
      <c r="K323">
        <v>4</v>
      </c>
    </row>
    <row r="324" spans="8:11" x14ac:dyDescent="0.3">
      <c r="H324">
        <v>7</v>
      </c>
      <c r="J324">
        <v>8</v>
      </c>
      <c r="K324">
        <v>5</v>
      </c>
    </row>
    <row r="325" spans="8:11" x14ac:dyDescent="0.3">
      <c r="H325">
        <v>2</v>
      </c>
      <c r="J325">
        <v>9</v>
      </c>
      <c r="K325">
        <v>8</v>
      </c>
    </row>
    <row r="326" spans="8:11" x14ac:dyDescent="0.3">
      <c r="H326">
        <v>3</v>
      </c>
      <c r="J326">
        <v>3</v>
      </c>
      <c r="K326">
        <v>1</v>
      </c>
    </row>
    <row r="327" spans="8:11" x14ac:dyDescent="0.3">
      <c r="H327">
        <v>4</v>
      </c>
      <c r="J327">
        <v>10</v>
      </c>
      <c r="K327">
        <v>4</v>
      </c>
    </row>
    <row r="328" spans="8:11" x14ac:dyDescent="0.3">
      <c r="H328">
        <v>2</v>
      </c>
      <c r="J328">
        <v>8</v>
      </c>
      <c r="K328">
        <v>4</v>
      </c>
    </row>
    <row r="329" spans="8:11" x14ac:dyDescent="0.3">
      <c r="H329">
        <v>3</v>
      </c>
      <c r="J329">
        <v>10</v>
      </c>
      <c r="K329">
        <v>1</v>
      </c>
    </row>
    <row r="330" spans="8:11" x14ac:dyDescent="0.3">
      <c r="H330">
        <v>8</v>
      </c>
      <c r="J330">
        <v>1</v>
      </c>
      <c r="K330">
        <v>5</v>
      </c>
    </row>
    <row r="331" spans="8:11" x14ac:dyDescent="0.3">
      <c r="H331">
        <v>4</v>
      </c>
      <c r="J331">
        <v>3</v>
      </c>
      <c r="K331">
        <v>9</v>
      </c>
    </row>
    <row r="332" spans="8:11" x14ac:dyDescent="0.3">
      <c r="H332">
        <v>3</v>
      </c>
      <c r="J332">
        <v>7</v>
      </c>
      <c r="K332">
        <v>5</v>
      </c>
    </row>
    <row r="333" spans="8:11" x14ac:dyDescent="0.3">
      <c r="H333">
        <v>6</v>
      </c>
      <c r="J333">
        <v>4</v>
      </c>
      <c r="K333">
        <v>1</v>
      </c>
    </row>
    <row r="334" spans="8:11" x14ac:dyDescent="0.3">
      <c r="H334">
        <v>2</v>
      </c>
      <c r="J334">
        <v>8</v>
      </c>
      <c r="K334">
        <v>6</v>
      </c>
    </row>
    <row r="335" spans="8:11" x14ac:dyDescent="0.3">
      <c r="H335">
        <v>4</v>
      </c>
      <c r="J335">
        <v>1</v>
      </c>
      <c r="K335">
        <v>1</v>
      </c>
    </row>
    <row r="336" spans="8:11" x14ac:dyDescent="0.3">
      <c r="H336">
        <v>4</v>
      </c>
      <c r="J336">
        <v>7</v>
      </c>
      <c r="K336">
        <v>1</v>
      </c>
    </row>
    <row r="337" spans="8:11" x14ac:dyDescent="0.3">
      <c r="H337">
        <v>6</v>
      </c>
      <c r="J337">
        <v>3</v>
      </c>
      <c r="K337">
        <v>7</v>
      </c>
    </row>
    <row r="338" spans="8:11" x14ac:dyDescent="0.3">
      <c r="H338">
        <v>9</v>
      </c>
      <c r="J338">
        <v>2</v>
      </c>
      <c r="K338">
        <v>7</v>
      </c>
    </row>
    <row r="339" spans="8:11" x14ac:dyDescent="0.3">
      <c r="H339">
        <v>1</v>
      </c>
      <c r="J339">
        <v>6</v>
      </c>
      <c r="K339">
        <v>8</v>
      </c>
    </row>
    <row r="340" spans="8:11" x14ac:dyDescent="0.3">
      <c r="H340">
        <v>5</v>
      </c>
      <c r="J340">
        <v>4</v>
      </c>
      <c r="K340">
        <v>5</v>
      </c>
    </row>
    <row r="341" spans="8:11" x14ac:dyDescent="0.3">
      <c r="H341">
        <v>3</v>
      </c>
      <c r="J341">
        <v>6</v>
      </c>
      <c r="K341">
        <v>4</v>
      </c>
    </row>
    <row r="342" spans="8:11" x14ac:dyDescent="0.3">
      <c r="H342">
        <v>5</v>
      </c>
      <c r="J342">
        <v>6</v>
      </c>
      <c r="K342">
        <v>6</v>
      </c>
    </row>
    <row r="343" spans="8:11" x14ac:dyDescent="0.3">
      <c r="H343">
        <v>6</v>
      </c>
      <c r="J343">
        <v>7</v>
      </c>
      <c r="K343">
        <v>8</v>
      </c>
    </row>
    <row r="344" spans="8:11" x14ac:dyDescent="0.3">
      <c r="H344">
        <v>5</v>
      </c>
      <c r="J344">
        <v>5</v>
      </c>
      <c r="K344">
        <v>1</v>
      </c>
    </row>
    <row r="345" spans="8:11" x14ac:dyDescent="0.3">
      <c r="H345">
        <v>1</v>
      </c>
      <c r="J345">
        <v>6</v>
      </c>
      <c r="K345">
        <v>2</v>
      </c>
    </row>
    <row r="346" spans="8:11" x14ac:dyDescent="0.3">
      <c r="H346">
        <v>2</v>
      </c>
      <c r="J346">
        <v>2</v>
      </c>
      <c r="K346">
        <v>4</v>
      </c>
    </row>
    <row r="347" spans="8:11" x14ac:dyDescent="0.3">
      <c r="H347">
        <v>4</v>
      </c>
      <c r="J347">
        <v>8</v>
      </c>
      <c r="K347">
        <v>5</v>
      </c>
    </row>
    <row r="348" spans="8:11" x14ac:dyDescent="0.3">
      <c r="H348">
        <v>2</v>
      </c>
      <c r="J348">
        <v>2</v>
      </c>
      <c r="K348">
        <v>4</v>
      </c>
    </row>
    <row r="349" spans="8:11" x14ac:dyDescent="0.3">
      <c r="H349">
        <v>2</v>
      </c>
      <c r="J349">
        <v>6</v>
      </c>
      <c r="K349">
        <v>2</v>
      </c>
    </row>
    <row r="350" spans="8:11" x14ac:dyDescent="0.3">
      <c r="H350">
        <v>4</v>
      </c>
      <c r="J350">
        <v>6</v>
      </c>
      <c r="K350">
        <v>3</v>
      </c>
    </row>
    <row r="351" spans="8:11" x14ac:dyDescent="0.3">
      <c r="H351">
        <v>2</v>
      </c>
      <c r="J351">
        <v>3</v>
      </c>
      <c r="K351">
        <v>8</v>
      </c>
    </row>
    <row r="352" spans="8:11" x14ac:dyDescent="0.3">
      <c r="H352">
        <v>6</v>
      </c>
      <c r="J352">
        <v>7</v>
      </c>
      <c r="K352">
        <v>5</v>
      </c>
    </row>
    <row r="353" spans="8:11" x14ac:dyDescent="0.3">
      <c r="H353">
        <v>7</v>
      </c>
      <c r="J353">
        <v>4</v>
      </c>
      <c r="K353">
        <v>2</v>
      </c>
    </row>
    <row r="354" spans="8:11" x14ac:dyDescent="0.3">
      <c r="H354">
        <v>5</v>
      </c>
      <c r="J354">
        <v>5</v>
      </c>
      <c r="K354">
        <v>6</v>
      </c>
    </row>
    <row r="355" spans="8:11" x14ac:dyDescent="0.3">
      <c r="H355">
        <v>2</v>
      </c>
      <c r="J355">
        <v>3</v>
      </c>
      <c r="K355">
        <v>1</v>
      </c>
    </row>
    <row r="356" spans="8:11" x14ac:dyDescent="0.3">
      <c r="H356">
        <v>3</v>
      </c>
      <c r="J356">
        <v>7</v>
      </c>
      <c r="K356">
        <v>2</v>
      </c>
    </row>
    <row r="357" spans="8:11" x14ac:dyDescent="0.3">
      <c r="H357">
        <v>6</v>
      </c>
      <c r="K357">
        <v>2</v>
      </c>
    </row>
    <row r="358" spans="8:11" x14ac:dyDescent="0.3">
      <c r="H358">
        <v>5</v>
      </c>
      <c r="K358">
        <v>8</v>
      </c>
    </row>
    <row r="359" spans="8:11" x14ac:dyDescent="0.3">
      <c r="H359">
        <v>3</v>
      </c>
      <c r="K359">
        <v>7</v>
      </c>
    </row>
    <row r="360" spans="8:11" x14ac:dyDescent="0.3">
      <c r="H360">
        <v>5</v>
      </c>
      <c r="K360">
        <v>4</v>
      </c>
    </row>
    <row r="361" spans="8:11" x14ac:dyDescent="0.3">
      <c r="H361">
        <v>4</v>
      </c>
      <c r="K361">
        <v>1</v>
      </c>
    </row>
    <row r="362" spans="8:11" x14ac:dyDescent="0.3">
      <c r="H362">
        <v>3</v>
      </c>
      <c r="K362">
        <v>5</v>
      </c>
    </row>
    <row r="363" spans="8:11" x14ac:dyDescent="0.3">
      <c r="H363">
        <v>3</v>
      </c>
      <c r="K363">
        <v>7</v>
      </c>
    </row>
    <row r="364" spans="8:11" x14ac:dyDescent="0.3">
      <c r="H364">
        <v>7</v>
      </c>
      <c r="K364">
        <v>3</v>
      </c>
    </row>
    <row r="365" spans="8:11" x14ac:dyDescent="0.3">
      <c r="H365">
        <v>2</v>
      </c>
      <c r="K365">
        <v>2</v>
      </c>
    </row>
    <row r="366" spans="8:11" x14ac:dyDescent="0.3">
      <c r="H366">
        <v>3</v>
      </c>
      <c r="K366">
        <v>1</v>
      </c>
    </row>
    <row r="367" spans="8:11" x14ac:dyDescent="0.3">
      <c r="H367">
        <v>5</v>
      </c>
      <c r="K367">
        <v>3</v>
      </c>
    </row>
    <row r="368" spans="8:11" x14ac:dyDescent="0.3">
      <c r="H368">
        <v>2</v>
      </c>
      <c r="K368">
        <v>1</v>
      </c>
    </row>
    <row r="369" spans="8:11" x14ac:dyDescent="0.3">
      <c r="H369">
        <v>1</v>
      </c>
      <c r="K369">
        <v>5</v>
      </c>
    </row>
    <row r="370" spans="8:11" x14ac:dyDescent="0.3">
      <c r="H370">
        <v>6</v>
      </c>
      <c r="K370">
        <v>1</v>
      </c>
    </row>
    <row r="371" spans="8:11" x14ac:dyDescent="0.3">
      <c r="H371">
        <v>8</v>
      </c>
      <c r="K371">
        <v>4</v>
      </c>
    </row>
    <row r="372" spans="8:11" x14ac:dyDescent="0.3">
      <c r="H372">
        <v>6</v>
      </c>
      <c r="K372">
        <v>6</v>
      </c>
    </row>
    <row r="373" spans="8:11" x14ac:dyDescent="0.3">
      <c r="H373">
        <v>6</v>
      </c>
      <c r="K373">
        <v>5</v>
      </c>
    </row>
    <row r="374" spans="8:11" x14ac:dyDescent="0.3">
      <c r="H374">
        <v>7</v>
      </c>
      <c r="K374">
        <v>6</v>
      </c>
    </row>
    <row r="375" spans="8:11" x14ac:dyDescent="0.3">
      <c r="H375">
        <v>1</v>
      </c>
      <c r="K375">
        <v>7</v>
      </c>
    </row>
    <row r="376" spans="8:11" x14ac:dyDescent="0.3">
      <c r="H376">
        <v>2</v>
      </c>
      <c r="K376">
        <v>4</v>
      </c>
    </row>
    <row r="377" spans="8:11" x14ac:dyDescent="0.3">
      <c r="H377">
        <v>1</v>
      </c>
      <c r="K377">
        <v>4</v>
      </c>
    </row>
    <row r="378" spans="8:11" x14ac:dyDescent="0.3">
      <c r="H378">
        <v>7</v>
      </c>
      <c r="K378">
        <v>4</v>
      </c>
    </row>
    <row r="379" spans="8:11" x14ac:dyDescent="0.3">
      <c r="H379">
        <v>4</v>
      </c>
      <c r="K379">
        <v>1</v>
      </c>
    </row>
    <row r="380" spans="8:11" x14ac:dyDescent="0.3">
      <c r="H380">
        <v>7</v>
      </c>
      <c r="K380">
        <v>6</v>
      </c>
    </row>
    <row r="381" spans="8:11" x14ac:dyDescent="0.3">
      <c r="H381">
        <v>6</v>
      </c>
      <c r="K381">
        <v>9</v>
      </c>
    </row>
    <row r="382" spans="8:11" x14ac:dyDescent="0.3">
      <c r="H382">
        <v>5</v>
      </c>
      <c r="K382">
        <v>3</v>
      </c>
    </row>
    <row r="383" spans="8:11" x14ac:dyDescent="0.3">
      <c r="H383">
        <v>2</v>
      </c>
      <c r="K383">
        <v>6</v>
      </c>
    </row>
    <row r="384" spans="8:11" x14ac:dyDescent="0.3">
      <c r="H384">
        <v>6</v>
      </c>
      <c r="K384">
        <v>9</v>
      </c>
    </row>
    <row r="385" spans="8:11" x14ac:dyDescent="0.3">
      <c r="H385">
        <v>1</v>
      </c>
      <c r="K385">
        <v>10</v>
      </c>
    </row>
    <row r="386" spans="8:11" x14ac:dyDescent="0.3">
      <c r="H386">
        <v>1</v>
      </c>
      <c r="K386">
        <v>5</v>
      </c>
    </row>
    <row r="387" spans="8:11" x14ac:dyDescent="0.3">
      <c r="H387">
        <v>8</v>
      </c>
      <c r="K387">
        <v>6</v>
      </c>
    </row>
    <row r="388" spans="8:11" x14ac:dyDescent="0.3">
      <c r="H388">
        <v>5</v>
      </c>
      <c r="K388">
        <v>7</v>
      </c>
    </row>
    <row r="389" spans="8:11" x14ac:dyDescent="0.3">
      <c r="H389">
        <v>3</v>
      </c>
      <c r="K389">
        <v>7</v>
      </c>
    </row>
    <row r="390" spans="8:11" x14ac:dyDescent="0.3">
      <c r="H390">
        <v>4</v>
      </c>
      <c r="K390">
        <v>5</v>
      </c>
    </row>
    <row r="391" spans="8:11" x14ac:dyDescent="0.3">
      <c r="H391">
        <v>4</v>
      </c>
      <c r="K391">
        <v>6</v>
      </c>
    </row>
    <row r="392" spans="8:11" x14ac:dyDescent="0.3">
      <c r="H392">
        <v>5</v>
      </c>
      <c r="K392">
        <v>3</v>
      </c>
    </row>
    <row r="393" spans="8:11" x14ac:dyDescent="0.3">
      <c r="H393">
        <v>4</v>
      </c>
      <c r="K393">
        <v>3</v>
      </c>
    </row>
    <row r="394" spans="8:11" x14ac:dyDescent="0.3">
      <c r="H394">
        <v>3</v>
      </c>
      <c r="K394">
        <v>6</v>
      </c>
    </row>
    <row r="395" spans="8:11" x14ac:dyDescent="0.3">
      <c r="H395">
        <v>5</v>
      </c>
      <c r="K395">
        <v>8</v>
      </c>
    </row>
    <row r="396" spans="8:11" x14ac:dyDescent="0.3">
      <c r="H396">
        <v>3</v>
      </c>
      <c r="K396">
        <v>6</v>
      </c>
    </row>
    <row r="397" spans="8:11" x14ac:dyDescent="0.3">
      <c r="H397">
        <v>5</v>
      </c>
      <c r="K397">
        <v>2</v>
      </c>
    </row>
    <row r="398" spans="8:11" x14ac:dyDescent="0.3">
      <c r="H398">
        <v>7</v>
      </c>
      <c r="K398">
        <v>3</v>
      </c>
    </row>
    <row r="399" spans="8:11" x14ac:dyDescent="0.3">
      <c r="H399">
        <v>7</v>
      </c>
      <c r="K399">
        <v>2</v>
      </c>
    </row>
    <row r="400" spans="8:11" x14ac:dyDescent="0.3">
      <c r="H400">
        <v>6</v>
      </c>
      <c r="K400">
        <v>5</v>
      </c>
    </row>
    <row r="401" spans="8:11" x14ac:dyDescent="0.3">
      <c r="H401">
        <v>5</v>
      </c>
      <c r="K401">
        <v>6</v>
      </c>
    </row>
    <row r="402" spans="8:11" x14ac:dyDescent="0.3">
      <c r="H402">
        <v>4</v>
      </c>
      <c r="K402">
        <v>5</v>
      </c>
    </row>
    <row r="403" spans="8:11" x14ac:dyDescent="0.3">
      <c r="H403">
        <v>4</v>
      </c>
      <c r="K403">
        <v>3</v>
      </c>
    </row>
    <row r="404" spans="8:11" x14ac:dyDescent="0.3">
      <c r="H404">
        <v>6</v>
      </c>
      <c r="K404">
        <v>7</v>
      </c>
    </row>
    <row r="405" spans="8:11" x14ac:dyDescent="0.3">
      <c r="H405">
        <v>4</v>
      </c>
      <c r="K405">
        <v>5</v>
      </c>
    </row>
    <row r="406" spans="8:11" x14ac:dyDescent="0.3">
      <c r="H406">
        <v>5</v>
      </c>
      <c r="K406">
        <v>5</v>
      </c>
    </row>
    <row r="407" spans="8:11" x14ac:dyDescent="0.3">
      <c r="H407">
        <v>1</v>
      </c>
      <c r="K407">
        <v>3</v>
      </c>
    </row>
    <row r="408" spans="8:11" x14ac:dyDescent="0.3">
      <c r="H408">
        <v>4</v>
      </c>
      <c r="K408">
        <v>3</v>
      </c>
    </row>
    <row r="409" spans="8:11" x14ac:dyDescent="0.3">
      <c r="H409">
        <v>5</v>
      </c>
      <c r="K409">
        <v>5</v>
      </c>
    </row>
    <row r="410" spans="8:11" x14ac:dyDescent="0.3">
      <c r="H410">
        <v>4</v>
      </c>
      <c r="K410">
        <v>2</v>
      </c>
    </row>
    <row r="411" spans="8:11" x14ac:dyDescent="0.3">
      <c r="H411">
        <v>5</v>
      </c>
      <c r="K411">
        <v>4</v>
      </c>
    </row>
    <row r="412" spans="8:11" x14ac:dyDescent="0.3">
      <c r="H412">
        <v>9</v>
      </c>
      <c r="K412">
        <v>7</v>
      </c>
    </row>
    <row r="413" spans="8:11" x14ac:dyDescent="0.3">
      <c r="H413">
        <v>1</v>
      </c>
      <c r="K413">
        <v>3</v>
      </c>
    </row>
    <row r="414" spans="8:11" x14ac:dyDescent="0.3">
      <c r="H414">
        <v>1</v>
      </c>
      <c r="K414">
        <v>2</v>
      </c>
    </row>
    <row r="415" spans="8:11" x14ac:dyDescent="0.3">
      <c r="H415">
        <v>6</v>
      </c>
      <c r="K415">
        <v>4</v>
      </c>
    </row>
    <row r="416" spans="8:11" x14ac:dyDescent="0.3">
      <c r="H416">
        <v>1</v>
      </c>
      <c r="K416">
        <v>3</v>
      </c>
    </row>
    <row r="417" spans="8:11" x14ac:dyDescent="0.3">
      <c r="H417">
        <v>1</v>
      </c>
      <c r="K417">
        <v>5</v>
      </c>
    </row>
    <row r="418" spans="8:11" x14ac:dyDescent="0.3">
      <c r="H418">
        <v>7</v>
      </c>
      <c r="K418">
        <v>3</v>
      </c>
    </row>
    <row r="419" spans="8:11" x14ac:dyDescent="0.3">
      <c r="H419">
        <v>7</v>
      </c>
      <c r="K419">
        <v>3</v>
      </c>
    </row>
    <row r="420" spans="8:11" x14ac:dyDescent="0.3">
      <c r="H420">
        <v>8</v>
      </c>
      <c r="K420">
        <v>2</v>
      </c>
    </row>
    <row r="421" spans="8:11" x14ac:dyDescent="0.3">
      <c r="H421">
        <v>4</v>
      </c>
      <c r="K421">
        <v>2</v>
      </c>
    </row>
    <row r="422" spans="8:11" x14ac:dyDescent="0.3">
      <c r="H422">
        <v>6</v>
      </c>
      <c r="K422">
        <v>6</v>
      </c>
    </row>
    <row r="423" spans="8:11" x14ac:dyDescent="0.3">
      <c r="H423">
        <v>8</v>
      </c>
      <c r="K423">
        <v>6</v>
      </c>
    </row>
    <row r="424" spans="8:11" x14ac:dyDescent="0.3">
      <c r="H424">
        <v>1</v>
      </c>
      <c r="K424">
        <v>2</v>
      </c>
    </row>
    <row r="425" spans="8:11" x14ac:dyDescent="0.3">
      <c r="H425">
        <v>2</v>
      </c>
      <c r="K425">
        <v>5</v>
      </c>
    </row>
    <row r="426" spans="8:11" x14ac:dyDescent="0.3">
      <c r="H426">
        <v>4</v>
      </c>
      <c r="K426">
        <v>4</v>
      </c>
    </row>
    <row r="427" spans="8:11" x14ac:dyDescent="0.3">
      <c r="H427">
        <v>5</v>
      </c>
      <c r="K427">
        <v>7</v>
      </c>
    </row>
    <row r="428" spans="8:11" x14ac:dyDescent="0.3">
      <c r="H428">
        <v>4</v>
      </c>
      <c r="K428">
        <v>7</v>
      </c>
    </row>
    <row r="429" spans="8:11" x14ac:dyDescent="0.3">
      <c r="H429">
        <v>5</v>
      </c>
      <c r="K429">
        <v>1</v>
      </c>
    </row>
    <row r="430" spans="8:11" x14ac:dyDescent="0.3">
      <c r="H430">
        <v>2</v>
      </c>
      <c r="K430">
        <v>7</v>
      </c>
    </row>
    <row r="431" spans="8:11" x14ac:dyDescent="0.3">
      <c r="H431">
        <v>3</v>
      </c>
      <c r="K431">
        <v>9</v>
      </c>
    </row>
    <row r="432" spans="8:11" x14ac:dyDescent="0.3">
      <c r="H432">
        <v>5</v>
      </c>
      <c r="K432">
        <v>3</v>
      </c>
    </row>
    <row r="433" spans="8:11" x14ac:dyDescent="0.3">
      <c r="H433">
        <v>5</v>
      </c>
      <c r="K433">
        <v>1</v>
      </c>
    </row>
    <row r="434" spans="8:11" x14ac:dyDescent="0.3">
      <c r="H434">
        <v>2</v>
      </c>
      <c r="K434">
        <v>3</v>
      </c>
    </row>
    <row r="435" spans="8:11" x14ac:dyDescent="0.3">
      <c r="H435">
        <v>6</v>
      </c>
      <c r="K435">
        <v>5</v>
      </c>
    </row>
    <row r="436" spans="8:11" x14ac:dyDescent="0.3">
      <c r="H436">
        <v>1</v>
      </c>
      <c r="K436">
        <v>1</v>
      </c>
    </row>
    <row r="437" spans="8:11" x14ac:dyDescent="0.3">
      <c r="H437">
        <v>2</v>
      </c>
      <c r="K437">
        <v>6</v>
      </c>
    </row>
    <row r="438" spans="8:11" x14ac:dyDescent="0.3">
      <c r="H438">
        <v>2</v>
      </c>
      <c r="K438">
        <v>8</v>
      </c>
    </row>
    <row r="439" spans="8:11" x14ac:dyDescent="0.3">
      <c r="H439">
        <v>3</v>
      </c>
      <c r="K439">
        <v>3</v>
      </c>
    </row>
    <row r="440" spans="8:11" x14ac:dyDescent="0.3">
      <c r="H440">
        <v>2</v>
      </c>
      <c r="K440">
        <v>7</v>
      </c>
    </row>
    <row r="441" spans="8:11" x14ac:dyDescent="0.3">
      <c r="H441">
        <v>7</v>
      </c>
      <c r="K441">
        <v>9</v>
      </c>
    </row>
    <row r="442" spans="8:11" x14ac:dyDescent="0.3">
      <c r="H442">
        <v>4</v>
      </c>
      <c r="K442">
        <v>4</v>
      </c>
    </row>
    <row r="443" spans="8:11" x14ac:dyDescent="0.3">
      <c r="H443">
        <v>6</v>
      </c>
      <c r="K443">
        <v>3</v>
      </c>
    </row>
    <row r="444" spans="8:11" x14ac:dyDescent="0.3">
      <c r="H444">
        <v>1</v>
      </c>
      <c r="K444">
        <v>1</v>
      </c>
    </row>
    <row r="445" spans="8:11" x14ac:dyDescent="0.3">
      <c r="H445">
        <v>4</v>
      </c>
      <c r="K445">
        <v>4</v>
      </c>
    </row>
    <row r="446" spans="8:11" x14ac:dyDescent="0.3">
      <c r="H446">
        <v>1</v>
      </c>
      <c r="K446">
        <v>9</v>
      </c>
    </row>
    <row r="447" spans="8:11" x14ac:dyDescent="0.3">
      <c r="H447">
        <v>5</v>
      </c>
      <c r="K447">
        <v>7</v>
      </c>
    </row>
    <row r="448" spans="8:11" x14ac:dyDescent="0.3">
      <c r="H448">
        <v>7</v>
      </c>
      <c r="K448">
        <v>9</v>
      </c>
    </row>
    <row r="449" spans="8:11" x14ac:dyDescent="0.3">
      <c r="H449">
        <v>3</v>
      </c>
      <c r="K449">
        <v>10</v>
      </c>
    </row>
    <row r="450" spans="8:11" x14ac:dyDescent="0.3">
      <c r="H450">
        <v>2</v>
      </c>
      <c r="K450">
        <v>7</v>
      </c>
    </row>
    <row r="451" spans="8:11" x14ac:dyDescent="0.3">
      <c r="H451">
        <v>2</v>
      </c>
      <c r="K451">
        <v>7</v>
      </c>
    </row>
    <row r="452" spans="8:11" x14ac:dyDescent="0.3">
      <c r="H452">
        <v>3</v>
      </c>
      <c r="K452">
        <v>4</v>
      </c>
    </row>
    <row r="453" spans="8:11" x14ac:dyDescent="0.3">
      <c r="H453">
        <v>2</v>
      </c>
      <c r="K453">
        <v>4</v>
      </c>
    </row>
    <row r="454" spans="8:11" x14ac:dyDescent="0.3">
      <c r="H454">
        <v>1</v>
      </c>
      <c r="K454">
        <v>6</v>
      </c>
    </row>
    <row r="455" spans="8:11" x14ac:dyDescent="0.3">
      <c r="H455">
        <v>4</v>
      </c>
      <c r="K455">
        <v>5</v>
      </c>
    </row>
    <row r="456" spans="8:11" x14ac:dyDescent="0.3">
      <c r="H456">
        <v>4</v>
      </c>
      <c r="K456">
        <v>7</v>
      </c>
    </row>
    <row r="457" spans="8:11" x14ac:dyDescent="0.3">
      <c r="H457">
        <v>8</v>
      </c>
      <c r="K457">
        <v>6</v>
      </c>
    </row>
    <row r="458" spans="8:11" x14ac:dyDescent="0.3">
      <c r="H458">
        <v>3</v>
      </c>
      <c r="K458">
        <v>4</v>
      </c>
    </row>
    <row r="459" spans="8:11" x14ac:dyDescent="0.3">
      <c r="H459">
        <v>1</v>
      </c>
      <c r="K459">
        <v>7</v>
      </c>
    </row>
    <row r="460" spans="8:11" x14ac:dyDescent="0.3">
      <c r="H460">
        <v>6</v>
      </c>
      <c r="K460">
        <v>6</v>
      </c>
    </row>
    <row r="461" spans="8:11" x14ac:dyDescent="0.3">
      <c r="H461">
        <v>6</v>
      </c>
      <c r="K461">
        <v>4</v>
      </c>
    </row>
    <row r="462" spans="8:11" x14ac:dyDescent="0.3">
      <c r="H462">
        <v>5</v>
      </c>
      <c r="K462">
        <v>7</v>
      </c>
    </row>
    <row r="463" spans="8:11" x14ac:dyDescent="0.3">
      <c r="H463">
        <v>7</v>
      </c>
      <c r="K463">
        <v>6</v>
      </c>
    </row>
    <row r="464" spans="8:11" x14ac:dyDescent="0.3">
      <c r="H464">
        <v>6</v>
      </c>
      <c r="K464">
        <v>1</v>
      </c>
    </row>
    <row r="465" spans="8:11" x14ac:dyDescent="0.3">
      <c r="H465">
        <v>5</v>
      </c>
      <c r="K465">
        <v>3</v>
      </c>
    </row>
    <row r="466" spans="8:11" x14ac:dyDescent="0.3">
      <c r="H466">
        <v>6</v>
      </c>
      <c r="K466">
        <v>2</v>
      </c>
    </row>
    <row r="467" spans="8:11" x14ac:dyDescent="0.3">
      <c r="H467">
        <v>7</v>
      </c>
      <c r="K467">
        <v>7</v>
      </c>
    </row>
    <row r="468" spans="8:11" x14ac:dyDescent="0.3">
      <c r="H468">
        <v>5</v>
      </c>
      <c r="K468">
        <v>6</v>
      </c>
    </row>
    <row r="469" spans="8:11" x14ac:dyDescent="0.3">
      <c r="H469">
        <v>4</v>
      </c>
      <c r="K469">
        <v>3</v>
      </c>
    </row>
    <row r="470" spans="8:11" x14ac:dyDescent="0.3">
      <c r="H470">
        <v>4</v>
      </c>
      <c r="K470">
        <v>4</v>
      </c>
    </row>
    <row r="471" spans="8:11" x14ac:dyDescent="0.3">
      <c r="H471">
        <v>1</v>
      </c>
      <c r="K471">
        <v>6</v>
      </c>
    </row>
    <row r="472" spans="8:11" x14ac:dyDescent="0.3">
      <c r="H472">
        <v>4</v>
      </c>
      <c r="K472">
        <v>7</v>
      </c>
    </row>
    <row r="473" spans="8:11" x14ac:dyDescent="0.3">
      <c r="H473">
        <v>2</v>
      </c>
      <c r="K473">
        <v>5</v>
      </c>
    </row>
    <row r="474" spans="8:11" x14ac:dyDescent="0.3">
      <c r="H474">
        <v>6</v>
      </c>
      <c r="K474">
        <v>8</v>
      </c>
    </row>
    <row r="475" spans="8:11" x14ac:dyDescent="0.3">
      <c r="H475">
        <v>6</v>
      </c>
      <c r="K475">
        <v>4</v>
      </c>
    </row>
    <row r="476" spans="8:11" x14ac:dyDescent="0.3">
      <c r="H476">
        <v>9</v>
      </c>
      <c r="K476">
        <v>3</v>
      </c>
    </row>
    <row r="477" spans="8:11" x14ac:dyDescent="0.3">
      <c r="H477">
        <v>5</v>
      </c>
      <c r="K477">
        <v>7</v>
      </c>
    </row>
    <row r="478" spans="8:11" x14ac:dyDescent="0.3">
      <c r="H478">
        <v>3</v>
      </c>
      <c r="K478">
        <v>6</v>
      </c>
    </row>
    <row r="479" spans="8:11" x14ac:dyDescent="0.3">
      <c r="H479">
        <v>6</v>
      </c>
      <c r="K479">
        <v>5</v>
      </c>
    </row>
    <row r="480" spans="8:11" x14ac:dyDescent="0.3">
      <c r="H480">
        <v>3</v>
      </c>
      <c r="K480">
        <v>6</v>
      </c>
    </row>
    <row r="481" spans="8:11" x14ac:dyDescent="0.3">
      <c r="H481">
        <v>9</v>
      </c>
      <c r="K481">
        <v>1</v>
      </c>
    </row>
    <row r="482" spans="8:11" x14ac:dyDescent="0.3">
      <c r="H482">
        <v>10</v>
      </c>
      <c r="K482">
        <v>7</v>
      </c>
    </row>
    <row r="483" spans="8:11" x14ac:dyDescent="0.3">
      <c r="H483">
        <v>5</v>
      </c>
      <c r="K483">
        <v>1</v>
      </c>
    </row>
    <row r="484" spans="8:11" x14ac:dyDescent="0.3">
      <c r="H484">
        <v>6</v>
      </c>
      <c r="K484">
        <v>4</v>
      </c>
    </row>
    <row r="485" spans="8:11" x14ac:dyDescent="0.3">
      <c r="H485">
        <v>7</v>
      </c>
      <c r="K485">
        <v>4</v>
      </c>
    </row>
    <row r="486" spans="8:11" x14ac:dyDescent="0.3">
      <c r="H486">
        <v>7</v>
      </c>
      <c r="K486">
        <v>7</v>
      </c>
    </row>
    <row r="487" spans="8:11" x14ac:dyDescent="0.3">
      <c r="H487">
        <v>5</v>
      </c>
      <c r="K487">
        <v>8</v>
      </c>
    </row>
    <row r="488" spans="8:11" x14ac:dyDescent="0.3">
      <c r="H488">
        <v>6</v>
      </c>
      <c r="K488">
        <v>1</v>
      </c>
    </row>
    <row r="489" spans="8:11" x14ac:dyDescent="0.3">
      <c r="H489">
        <v>3</v>
      </c>
      <c r="K489">
        <v>4</v>
      </c>
    </row>
    <row r="490" spans="8:11" x14ac:dyDescent="0.3">
      <c r="H490">
        <v>3</v>
      </c>
      <c r="K490">
        <v>6</v>
      </c>
    </row>
    <row r="491" spans="8:11" x14ac:dyDescent="0.3">
      <c r="H491">
        <v>1</v>
      </c>
      <c r="K491">
        <v>1</v>
      </c>
    </row>
    <row r="492" spans="8:11" x14ac:dyDescent="0.3">
      <c r="H492">
        <v>8</v>
      </c>
      <c r="K492">
        <v>5</v>
      </c>
    </row>
    <row r="493" spans="8:11" x14ac:dyDescent="0.3">
      <c r="H493">
        <v>2</v>
      </c>
      <c r="K493">
        <v>3</v>
      </c>
    </row>
    <row r="494" spans="8:11" x14ac:dyDescent="0.3">
      <c r="H494">
        <v>3</v>
      </c>
      <c r="K494">
        <v>5</v>
      </c>
    </row>
    <row r="495" spans="8:11" x14ac:dyDescent="0.3">
      <c r="H495">
        <v>1</v>
      </c>
      <c r="K495">
        <v>7</v>
      </c>
    </row>
    <row r="496" spans="8:11" x14ac:dyDescent="0.3">
      <c r="H496">
        <v>2</v>
      </c>
      <c r="K496">
        <v>6</v>
      </c>
    </row>
    <row r="497" spans="8:11" x14ac:dyDescent="0.3">
      <c r="H497">
        <v>5</v>
      </c>
      <c r="K497">
        <v>6</v>
      </c>
    </row>
    <row r="498" spans="8:11" x14ac:dyDescent="0.3">
      <c r="H498">
        <v>8</v>
      </c>
      <c r="K498">
        <v>7</v>
      </c>
    </row>
    <row r="499" spans="8:11" x14ac:dyDescent="0.3">
      <c r="H499">
        <v>6</v>
      </c>
      <c r="K499">
        <v>6</v>
      </c>
    </row>
    <row r="500" spans="8:11" x14ac:dyDescent="0.3">
      <c r="H500">
        <v>6</v>
      </c>
      <c r="K500">
        <v>2</v>
      </c>
    </row>
    <row r="501" spans="8:11" x14ac:dyDescent="0.3">
      <c r="H501">
        <v>5</v>
      </c>
      <c r="K501">
        <v>4</v>
      </c>
    </row>
    <row r="502" spans="8:11" x14ac:dyDescent="0.3">
      <c r="H502">
        <v>3</v>
      </c>
      <c r="K502">
        <v>2</v>
      </c>
    </row>
    <row r="503" spans="8:11" x14ac:dyDescent="0.3">
      <c r="H503">
        <v>7</v>
      </c>
      <c r="K503">
        <v>4</v>
      </c>
    </row>
    <row r="504" spans="8:11" x14ac:dyDescent="0.3">
      <c r="H504">
        <v>9</v>
      </c>
      <c r="K504">
        <v>4</v>
      </c>
    </row>
    <row r="505" spans="8:11" x14ac:dyDescent="0.3">
      <c r="H505">
        <v>4</v>
      </c>
      <c r="K505">
        <v>6</v>
      </c>
    </row>
    <row r="506" spans="8:11" x14ac:dyDescent="0.3">
      <c r="H506">
        <v>3</v>
      </c>
      <c r="K506">
        <v>8</v>
      </c>
    </row>
    <row r="507" spans="8:11" x14ac:dyDescent="0.3">
      <c r="H507">
        <v>5</v>
      </c>
      <c r="K507">
        <v>4</v>
      </c>
    </row>
    <row r="508" spans="8:11" x14ac:dyDescent="0.3">
      <c r="H508">
        <v>5</v>
      </c>
      <c r="K508">
        <v>6</v>
      </c>
    </row>
    <row r="509" spans="8:11" x14ac:dyDescent="0.3">
      <c r="H509">
        <v>5</v>
      </c>
      <c r="K509">
        <v>3</v>
      </c>
    </row>
    <row r="510" spans="8:11" x14ac:dyDescent="0.3">
      <c r="H510">
        <v>3</v>
      </c>
      <c r="K510">
        <v>3</v>
      </c>
    </row>
    <row r="511" spans="8:11" x14ac:dyDescent="0.3">
      <c r="H511">
        <v>5</v>
      </c>
      <c r="K511">
        <v>5</v>
      </c>
    </row>
    <row r="512" spans="8:11" x14ac:dyDescent="0.3">
      <c r="H512">
        <v>2</v>
      </c>
      <c r="K512">
        <v>3</v>
      </c>
    </row>
    <row r="513" spans="8:11" x14ac:dyDescent="0.3">
      <c r="H513">
        <v>2</v>
      </c>
      <c r="K513">
        <v>5</v>
      </c>
    </row>
    <row r="514" spans="8:11" x14ac:dyDescent="0.3">
      <c r="H514">
        <v>5</v>
      </c>
      <c r="K514">
        <v>4</v>
      </c>
    </row>
    <row r="515" spans="8:11" x14ac:dyDescent="0.3">
      <c r="H515">
        <v>4</v>
      </c>
      <c r="K515">
        <v>7</v>
      </c>
    </row>
    <row r="516" spans="8:11" x14ac:dyDescent="0.3">
      <c r="H516">
        <v>7</v>
      </c>
      <c r="K516">
        <v>3</v>
      </c>
    </row>
    <row r="517" spans="8:11" x14ac:dyDescent="0.3">
      <c r="H517">
        <v>3</v>
      </c>
      <c r="K517">
        <v>1</v>
      </c>
    </row>
    <row r="518" spans="8:11" x14ac:dyDescent="0.3">
      <c r="H518">
        <v>2</v>
      </c>
      <c r="K518">
        <v>1</v>
      </c>
    </row>
    <row r="519" spans="8:11" x14ac:dyDescent="0.3">
      <c r="H519">
        <v>5</v>
      </c>
      <c r="K519">
        <v>5</v>
      </c>
    </row>
    <row r="520" spans="8:11" x14ac:dyDescent="0.3">
      <c r="H520">
        <v>5</v>
      </c>
      <c r="K520">
        <v>2</v>
      </c>
    </row>
    <row r="521" spans="8:11" x14ac:dyDescent="0.3">
      <c r="H521">
        <v>3</v>
      </c>
      <c r="K521">
        <v>3</v>
      </c>
    </row>
    <row r="522" spans="8:11" x14ac:dyDescent="0.3">
      <c r="H522">
        <v>5</v>
      </c>
      <c r="K522">
        <v>2</v>
      </c>
    </row>
    <row r="523" spans="8:11" x14ac:dyDescent="0.3">
      <c r="H523">
        <v>3</v>
      </c>
      <c r="K523">
        <v>7</v>
      </c>
    </row>
    <row r="524" spans="8:11" x14ac:dyDescent="0.3">
      <c r="H524">
        <v>2</v>
      </c>
      <c r="K524">
        <v>2</v>
      </c>
    </row>
    <row r="525" spans="8:11" x14ac:dyDescent="0.3">
      <c r="H525">
        <v>2</v>
      </c>
      <c r="K525">
        <v>2</v>
      </c>
    </row>
    <row r="526" spans="8:11" x14ac:dyDescent="0.3">
      <c r="H526">
        <v>4</v>
      </c>
      <c r="K526">
        <v>5</v>
      </c>
    </row>
    <row r="527" spans="8:11" x14ac:dyDescent="0.3">
      <c r="H527">
        <v>6</v>
      </c>
      <c r="K527">
        <v>1</v>
      </c>
    </row>
    <row r="528" spans="8:11" x14ac:dyDescent="0.3">
      <c r="H528">
        <v>6</v>
      </c>
      <c r="K528">
        <v>7</v>
      </c>
    </row>
    <row r="529" spans="8:11" x14ac:dyDescent="0.3">
      <c r="H529">
        <v>1</v>
      </c>
      <c r="K529">
        <v>2</v>
      </c>
    </row>
    <row r="530" spans="8:11" x14ac:dyDescent="0.3">
      <c r="H530">
        <v>5</v>
      </c>
      <c r="K530">
        <v>6</v>
      </c>
    </row>
    <row r="531" spans="8:11" x14ac:dyDescent="0.3">
      <c r="H531">
        <v>4</v>
      </c>
      <c r="K531">
        <v>7</v>
      </c>
    </row>
    <row r="532" spans="8:11" x14ac:dyDescent="0.3">
      <c r="H532">
        <v>7</v>
      </c>
      <c r="K532">
        <v>7</v>
      </c>
    </row>
    <row r="533" spans="8:11" x14ac:dyDescent="0.3">
      <c r="H533">
        <v>5</v>
      </c>
      <c r="K533">
        <v>3</v>
      </c>
    </row>
    <row r="534" spans="8:11" x14ac:dyDescent="0.3">
      <c r="H534">
        <v>7</v>
      </c>
      <c r="K534">
        <v>6</v>
      </c>
    </row>
    <row r="535" spans="8:11" x14ac:dyDescent="0.3">
      <c r="H535">
        <v>1</v>
      </c>
      <c r="K535">
        <v>4</v>
      </c>
    </row>
    <row r="536" spans="8:11" x14ac:dyDescent="0.3">
      <c r="H536">
        <v>7</v>
      </c>
      <c r="K536">
        <v>2</v>
      </c>
    </row>
    <row r="537" spans="8:11" x14ac:dyDescent="0.3">
      <c r="H537">
        <v>5</v>
      </c>
      <c r="K537">
        <v>5</v>
      </c>
    </row>
    <row r="538" spans="8:11" x14ac:dyDescent="0.3">
      <c r="H538">
        <v>9</v>
      </c>
      <c r="K538">
        <v>6</v>
      </c>
    </row>
    <row r="539" spans="8:11" x14ac:dyDescent="0.3">
      <c r="H539">
        <v>6</v>
      </c>
      <c r="K539">
        <v>7</v>
      </c>
    </row>
    <row r="540" spans="8:11" x14ac:dyDescent="0.3">
      <c r="H540">
        <v>3</v>
      </c>
      <c r="K540">
        <v>1</v>
      </c>
    </row>
    <row r="541" spans="8:11" x14ac:dyDescent="0.3">
      <c r="H541">
        <v>1</v>
      </c>
      <c r="K541">
        <v>3</v>
      </c>
    </row>
    <row r="542" spans="8:11" x14ac:dyDescent="0.3">
      <c r="H542">
        <v>1</v>
      </c>
      <c r="K542">
        <v>3</v>
      </c>
    </row>
    <row r="543" spans="8:11" x14ac:dyDescent="0.3">
      <c r="H543">
        <v>1</v>
      </c>
      <c r="K543">
        <v>6</v>
      </c>
    </row>
    <row r="544" spans="8:11" x14ac:dyDescent="0.3">
      <c r="H544">
        <v>6</v>
      </c>
      <c r="K544">
        <v>5</v>
      </c>
    </row>
    <row r="545" spans="8:11" x14ac:dyDescent="0.3">
      <c r="H545">
        <v>1</v>
      </c>
      <c r="K545">
        <v>4</v>
      </c>
    </row>
    <row r="546" spans="8:11" x14ac:dyDescent="0.3">
      <c r="H546">
        <v>8</v>
      </c>
      <c r="K546">
        <v>1</v>
      </c>
    </row>
    <row r="547" spans="8:11" x14ac:dyDescent="0.3">
      <c r="H547">
        <v>8</v>
      </c>
      <c r="K547">
        <v>5</v>
      </c>
    </row>
    <row r="548" spans="8:11" x14ac:dyDescent="0.3">
      <c r="H548">
        <v>7</v>
      </c>
      <c r="K548">
        <v>7</v>
      </c>
    </row>
    <row r="549" spans="8:11" x14ac:dyDescent="0.3">
      <c r="H549">
        <v>3</v>
      </c>
      <c r="K549">
        <v>1</v>
      </c>
    </row>
    <row r="550" spans="8:11" x14ac:dyDescent="0.3">
      <c r="H550">
        <v>7</v>
      </c>
      <c r="K550">
        <v>3</v>
      </c>
    </row>
    <row r="551" spans="8:11" x14ac:dyDescent="0.3">
      <c r="H551">
        <v>9</v>
      </c>
      <c r="K551">
        <v>8</v>
      </c>
    </row>
    <row r="552" spans="8:11" x14ac:dyDescent="0.3">
      <c r="H552">
        <v>4</v>
      </c>
      <c r="K552">
        <v>4</v>
      </c>
    </row>
    <row r="553" spans="8:11" x14ac:dyDescent="0.3">
      <c r="H553">
        <v>3</v>
      </c>
      <c r="K553">
        <v>7</v>
      </c>
    </row>
    <row r="554" spans="8:11" x14ac:dyDescent="0.3">
      <c r="H554">
        <v>1</v>
      </c>
      <c r="K554">
        <v>4</v>
      </c>
    </row>
    <row r="555" spans="8:11" x14ac:dyDescent="0.3">
      <c r="H555">
        <v>2</v>
      </c>
      <c r="K555">
        <v>2</v>
      </c>
    </row>
    <row r="556" spans="8:11" x14ac:dyDescent="0.3">
      <c r="H556">
        <v>4</v>
      </c>
      <c r="K556">
        <v>6</v>
      </c>
    </row>
    <row r="557" spans="8:11" x14ac:dyDescent="0.3">
      <c r="H557">
        <v>9</v>
      </c>
      <c r="K557">
        <v>6</v>
      </c>
    </row>
    <row r="558" spans="8:11" x14ac:dyDescent="0.3">
      <c r="H558">
        <v>4</v>
      </c>
      <c r="K558">
        <v>6</v>
      </c>
    </row>
    <row r="559" spans="8:11" x14ac:dyDescent="0.3">
      <c r="H559">
        <v>10</v>
      </c>
      <c r="K559">
        <v>3</v>
      </c>
    </row>
    <row r="560" spans="8:11" x14ac:dyDescent="0.3">
      <c r="H560">
        <v>7</v>
      </c>
      <c r="K560">
        <v>3</v>
      </c>
    </row>
    <row r="561" spans="8:11" x14ac:dyDescent="0.3">
      <c r="H561">
        <v>4</v>
      </c>
      <c r="K561">
        <v>10</v>
      </c>
    </row>
    <row r="562" spans="8:11" x14ac:dyDescent="0.3">
      <c r="H562">
        <v>1</v>
      </c>
      <c r="K562">
        <v>7</v>
      </c>
    </row>
    <row r="563" spans="8:11" x14ac:dyDescent="0.3">
      <c r="H563">
        <v>4</v>
      </c>
      <c r="K563">
        <v>5</v>
      </c>
    </row>
    <row r="564" spans="8:11" x14ac:dyDescent="0.3">
      <c r="H564">
        <v>6</v>
      </c>
      <c r="K564">
        <v>4</v>
      </c>
    </row>
    <row r="565" spans="8:11" x14ac:dyDescent="0.3">
      <c r="H565">
        <v>5</v>
      </c>
      <c r="K565">
        <v>7</v>
      </c>
    </row>
    <row r="566" spans="8:11" x14ac:dyDescent="0.3">
      <c r="H566">
        <v>7</v>
      </c>
      <c r="K566">
        <v>6</v>
      </c>
    </row>
    <row r="567" spans="8:11" x14ac:dyDescent="0.3">
      <c r="H567">
        <v>1</v>
      </c>
      <c r="K567">
        <v>4</v>
      </c>
    </row>
    <row r="568" spans="8:11" x14ac:dyDescent="0.3">
      <c r="H568">
        <v>6</v>
      </c>
      <c r="K568">
        <v>3</v>
      </c>
    </row>
    <row r="569" spans="8:11" x14ac:dyDescent="0.3">
      <c r="H569">
        <v>7</v>
      </c>
      <c r="K569">
        <v>5</v>
      </c>
    </row>
    <row r="570" spans="8:11" x14ac:dyDescent="0.3">
      <c r="H570">
        <v>6</v>
      </c>
      <c r="K570">
        <v>5</v>
      </c>
    </row>
    <row r="571" spans="8:11" x14ac:dyDescent="0.3">
      <c r="H571">
        <v>4</v>
      </c>
      <c r="K571">
        <v>6</v>
      </c>
    </row>
    <row r="572" spans="8:11" x14ac:dyDescent="0.3">
      <c r="H572">
        <v>6</v>
      </c>
      <c r="K572">
        <v>8</v>
      </c>
    </row>
    <row r="573" spans="8:11" x14ac:dyDescent="0.3">
      <c r="H573">
        <v>1</v>
      </c>
      <c r="K573">
        <v>6</v>
      </c>
    </row>
    <row r="574" spans="8:11" x14ac:dyDescent="0.3">
      <c r="H574">
        <v>3</v>
      </c>
      <c r="K574">
        <v>3</v>
      </c>
    </row>
    <row r="575" spans="8:11" x14ac:dyDescent="0.3">
      <c r="H575">
        <v>3</v>
      </c>
      <c r="K575">
        <v>6</v>
      </c>
    </row>
    <row r="576" spans="8:11" x14ac:dyDescent="0.3">
      <c r="H576">
        <v>2</v>
      </c>
      <c r="K576">
        <v>2</v>
      </c>
    </row>
    <row r="577" spans="8:11" x14ac:dyDescent="0.3">
      <c r="H577">
        <v>7</v>
      </c>
      <c r="K577">
        <v>9</v>
      </c>
    </row>
    <row r="578" spans="8:11" x14ac:dyDescent="0.3">
      <c r="H578">
        <v>2</v>
      </c>
      <c r="K578">
        <v>5</v>
      </c>
    </row>
    <row r="579" spans="8:11" x14ac:dyDescent="0.3">
      <c r="H579">
        <v>4</v>
      </c>
      <c r="K579">
        <v>1</v>
      </c>
    </row>
    <row r="580" spans="8:11" x14ac:dyDescent="0.3">
      <c r="H580">
        <v>2</v>
      </c>
      <c r="K580">
        <v>3</v>
      </c>
    </row>
    <row r="581" spans="8:11" x14ac:dyDescent="0.3">
      <c r="H581">
        <v>5</v>
      </c>
      <c r="K581">
        <v>3</v>
      </c>
    </row>
    <row r="582" spans="8:11" x14ac:dyDescent="0.3">
      <c r="H582">
        <v>6</v>
      </c>
      <c r="K582">
        <v>6</v>
      </c>
    </row>
    <row r="583" spans="8:11" x14ac:dyDescent="0.3">
      <c r="H583">
        <v>3</v>
      </c>
      <c r="K583">
        <v>6</v>
      </c>
    </row>
    <row r="584" spans="8:11" x14ac:dyDescent="0.3">
      <c r="H584">
        <v>4</v>
      </c>
      <c r="K584">
        <v>3</v>
      </c>
    </row>
    <row r="585" spans="8:11" x14ac:dyDescent="0.3">
      <c r="H585">
        <v>8</v>
      </c>
      <c r="K585">
        <v>1</v>
      </c>
    </row>
    <row r="586" spans="8:11" x14ac:dyDescent="0.3">
      <c r="H586">
        <v>5</v>
      </c>
      <c r="K586">
        <v>7</v>
      </c>
    </row>
    <row r="587" spans="8:11" x14ac:dyDescent="0.3">
      <c r="H587">
        <v>8</v>
      </c>
      <c r="K587">
        <v>1</v>
      </c>
    </row>
    <row r="588" spans="8:11" x14ac:dyDescent="0.3">
      <c r="H588">
        <v>5</v>
      </c>
      <c r="K588">
        <v>7</v>
      </c>
    </row>
    <row r="589" spans="8:11" x14ac:dyDescent="0.3">
      <c r="H589">
        <v>5</v>
      </c>
      <c r="K589">
        <v>8</v>
      </c>
    </row>
    <row r="590" spans="8:11" x14ac:dyDescent="0.3">
      <c r="H590">
        <v>3</v>
      </c>
      <c r="K590">
        <v>4</v>
      </c>
    </row>
    <row r="591" spans="8:11" x14ac:dyDescent="0.3">
      <c r="H591">
        <v>7</v>
      </c>
      <c r="K591">
        <v>7</v>
      </c>
    </row>
    <row r="592" spans="8:11" x14ac:dyDescent="0.3">
      <c r="H592">
        <v>5</v>
      </c>
      <c r="K592">
        <v>5</v>
      </c>
    </row>
    <row r="593" spans="8:11" x14ac:dyDescent="0.3">
      <c r="H593">
        <v>6</v>
      </c>
      <c r="K593">
        <v>5</v>
      </c>
    </row>
    <row r="594" spans="8:11" x14ac:dyDescent="0.3">
      <c r="H594">
        <v>1</v>
      </c>
      <c r="K594">
        <v>7</v>
      </c>
    </row>
    <row r="595" spans="8:11" x14ac:dyDescent="0.3">
      <c r="H595">
        <v>7</v>
      </c>
      <c r="K595">
        <v>6</v>
      </c>
    </row>
    <row r="596" spans="8:11" x14ac:dyDescent="0.3">
      <c r="H596">
        <v>1</v>
      </c>
      <c r="K596">
        <v>6</v>
      </c>
    </row>
    <row r="597" spans="8:11" x14ac:dyDescent="0.3">
      <c r="H597">
        <v>5</v>
      </c>
      <c r="K597">
        <v>7</v>
      </c>
    </row>
    <row r="598" spans="8:11" x14ac:dyDescent="0.3">
      <c r="H598">
        <v>4</v>
      </c>
      <c r="K598">
        <v>9</v>
      </c>
    </row>
    <row r="599" spans="8:11" x14ac:dyDescent="0.3">
      <c r="H599">
        <v>4</v>
      </c>
      <c r="K599">
        <v>5</v>
      </c>
    </row>
    <row r="600" spans="8:11" x14ac:dyDescent="0.3">
      <c r="H600">
        <v>7</v>
      </c>
      <c r="K600">
        <v>5</v>
      </c>
    </row>
    <row r="601" spans="8:11" x14ac:dyDescent="0.3">
      <c r="H601">
        <v>3</v>
      </c>
      <c r="K601">
        <v>3</v>
      </c>
    </row>
    <row r="602" spans="8:11" x14ac:dyDescent="0.3">
      <c r="H602">
        <v>8</v>
      </c>
      <c r="K602">
        <v>7</v>
      </c>
    </row>
    <row r="603" spans="8:11" x14ac:dyDescent="0.3">
      <c r="H603">
        <v>1</v>
      </c>
      <c r="K603">
        <v>7</v>
      </c>
    </row>
    <row r="604" spans="8:11" x14ac:dyDescent="0.3">
      <c r="H604">
        <v>6</v>
      </c>
      <c r="K604">
        <v>8</v>
      </c>
    </row>
    <row r="605" spans="8:11" x14ac:dyDescent="0.3">
      <c r="H605">
        <v>1</v>
      </c>
      <c r="K605">
        <v>2</v>
      </c>
    </row>
    <row r="606" spans="8:11" x14ac:dyDescent="0.3">
      <c r="H606">
        <v>5</v>
      </c>
      <c r="K606">
        <v>2</v>
      </c>
    </row>
    <row r="607" spans="8:11" x14ac:dyDescent="0.3">
      <c r="H607">
        <v>3</v>
      </c>
      <c r="K607">
        <v>3</v>
      </c>
    </row>
    <row r="608" spans="8:11" x14ac:dyDescent="0.3">
      <c r="H608">
        <v>5</v>
      </c>
      <c r="K608">
        <v>8</v>
      </c>
    </row>
    <row r="609" spans="8:11" x14ac:dyDescent="0.3">
      <c r="H609">
        <v>7</v>
      </c>
      <c r="K609">
        <v>5</v>
      </c>
    </row>
    <row r="610" spans="8:11" x14ac:dyDescent="0.3">
      <c r="H610">
        <v>6</v>
      </c>
      <c r="K610">
        <v>6</v>
      </c>
    </row>
    <row r="611" spans="8:11" x14ac:dyDescent="0.3">
      <c r="H611">
        <v>8</v>
      </c>
      <c r="K611">
        <v>9</v>
      </c>
    </row>
    <row r="612" spans="8:11" x14ac:dyDescent="0.3">
      <c r="H612">
        <v>2</v>
      </c>
      <c r="K612">
        <v>10</v>
      </c>
    </row>
    <row r="613" spans="8:11" x14ac:dyDescent="0.3">
      <c r="H613">
        <v>4</v>
      </c>
      <c r="K613">
        <v>8</v>
      </c>
    </row>
    <row r="614" spans="8:11" x14ac:dyDescent="0.3">
      <c r="H614">
        <v>2</v>
      </c>
      <c r="K614">
        <v>7</v>
      </c>
    </row>
    <row r="615" spans="8:11" x14ac:dyDescent="0.3">
      <c r="H615">
        <v>4</v>
      </c>
      <c r="K615">
        <v>3</v>
      </c>
    </row>
    <row r="616" spans="8:11" x14ac:dyDescent="0.3">
      <c r="H616">
        <v>6</v>
      </c>
      <c r="K616">
        <v>10</v>
      </c>
    </row>
    <row r="617" spans="8:11" x14ac:dyDescent="0.3">
      <c r="H617">
        <v>4</v>
      </c>
      <c r="K617">
        <v>5</v>
      </c>
    </row>
    <row r="618" spans="8:11" x14ac:dyDescent="0.3">
      <c r="H618">
        <v>6</v>
      </c>
      <c r="K618">
        <v>7</v>
      </c>
    </row>
    <row r="619" spans="8:11" x14ac:dyDescent="0.3">
      <c r="H619">
        <v>5</v>
      </c>
      <c r="K619">
        <v>8</v>
      </c>
    </row>
    <row r="620" spans="8:11" x14ac:dyDescent="0.3">
      <c r="H620">
        <v>8</v>
      </c>
      <c r="K620">
        <v>2</v>
      </c>
    </row>
    <row r="621" spans="8:11" x14ac:dyDescent="0.3">
      <c r="H621">
        <v>4</v>
      </c>
      <c r="K621">
        <v>10</v>
      </c>
    </row>
    <row r="622" spans="8:11" x14ac:dyDescent="0.3">
      <c r="H622">
        <v>6</v>
      </c>
      <c r="K622">
        <v>5</v>
      </c>
    </row>
    <row r="623" spans="8:11" x14ac:dyDescent="0.3">
      <c r="H623">
        <v>6</v>
      </c>
      <c r="K623">
        <v>4</v>
      </c>
    </row>
    <row r="624" spans="8:11" x14ac:dyDescent="0.3">
      <c r="H624">
        <v>3</v>
      </c>
      <c r="K624">
        <v>6</v>
      </c>
    </row>
    <row r="625" spans="8:11" x14ac:dyDescent="0.3">
      <c r="H625">
        <v>3</v>
      </c>
      <c r="K625">
        <v>2</v>
      </c>
    </row>
    <row r="626" spans="8:11" x14ac:dyDescent="0.3">
      <c r="H626">
        <v>5</v>
      </c>
      <c r="K626">
        <v>2</v>
      </c>
    </row>
    <row r="627" spans="8:11" x14ac:dyDescent="0.3">
      <c r="H627">
        <v>5</v>
      </c>
      <c r="K627">
        <v>6</v>
      </c>
    </row>
    <row r="628" spans="8:11" x14ac:dyDescent="0.3">
      <c r="H628">
        <v>3</v>
      </c>
      <c r="K628">
        <v>4</v>
      </c>
    </row>
    <row r="629" spans="8:11" x14ac:dyDescent="0.3">
      <c r="H629">
        <v>1</v>
      </c>
      <c r="K629">
        <v>2</v>
      </c>
    </row>
    <row r="630" spans="8:11" x14ac:dyDescent="0.3">
      <c r="H630">
        <v>5</v>
      </c>
      <c r="K630">
        <v>2</v>
      </c>
    </row>
    <row r="631" spans="8:11" x14ac:dyDescent="0.3">
      <c r="H631">
        <v>4</v>
      </c>
      <c r="K631">
        <v>7</v>
      </c>
    </row>
    <row r="632" spans="8:11" x14ac:dyDescent="0.3">
      <c r="H632">
        <v>7</v>
      </c>
      <c r="K632">
        <v>2</v>
      </c>
    </row>
    <row r="633" spans="8:11" x14ac:dyDescent="0.3">
      <c r="H633">
        <v>3</v>
      </c>
      <c r="K633">
        <v>2</v>
      </c>
    </row>
    <row r="634" spans="8:11" x14ac:dyDescent="0.3">
      <c r="H634">
        <v>1</v>
      </c>
      <c r="K634">
        <v>4</v>
      </c>
    </row>
    <row r="635" spans="8:11" x14ac:dyDescent="0.3">
      <c r="H635">
        <v>8</v>
      </c>
      <c r="K635">
        <v>3</v>
      </c>
    </row>
    <row r="636" spans="8:11" x14ac:dyDescent="0.3">
      <c r="H636">
        <v>1</v>
      </c>
      <c r="K636">
        <v>2</v>
      </c>
    </row>
    <row r="637" spans="8:11" x14ac:dyDescent="0.3">
      <c r="H637">
        <v>5</v>
      </c>
      <c r="K637">
        <v>10</v>
      </c>
    </row>
    <row r="638" spans="8:11" x14ac:dyDescent="0.3">
      <c r="H638">
        <v>6</v>
      </c>
      <c r="K638">
        <v>6</v>
      </c>
    </row>
    <row r="639" spans="8:11" x14ac:dyDescent="0.3">
      <c r="H639">
        <v>2</v>
      </c>
      <c r="K639">
        <v>8</v>
      </c>
    </row>
    <row r="640" spans="8:11" x14ac:dyDescent="0.3">
      <c r="H640">
        <v>3</v>
      </c>
      <c r="K640">
        <v>3</v>
      </c>
    </row>
    <row r="641" spans="8:11" x14ac:dyDescent="0.3">
      <c r="H641">
        <v>2</v>
      </c>
      <c r="K641">
        <v>8</v>
      </c>
    </row>
    <row r="642" spans="8:11" x14ac:dyDescent="0.3">
      <c r="H642">
        <v>9</v>
      </c>
      <c r="K642">
        <v>5</v>
      </c>
    </row>
    <row r="643" spans="8:11" x14ac:dyDescent="0.3">
      <c r="H643">
        <v>7</v>
      </c>
      <c r="K643">
        <v>3</v>
      </c>
    </row>
    <row r="644" spans="8:11" x14ac:dyDescent="0.3">
      <c r="H644">
        <v>4</v>
      </c>
      <c r="K644">
        <v>3</v>
      </c>
    </row>
    <row r="645" spans="8:11" x14ac:dyDescent="0.3">
      <c r="H645">
        <v>2</v>
      </c>
      <c r="K645">
        <v>6</v>
      </c>
    </row>
    <row r="646" spans="8:11" x14ac:dyDescent="0.3">
      <c r="H646">
        <v>2</v>
      </c>
      <c r="K646">
        <v>1</v>
      </c>
    </row>
    <row r="647" spans="8:11" x14ac:dyDescent="0.3">
      <c r="H647">
        <v>4</v>
      </c>
      <c r="K647">
        <v>5</v>
      </c>
    </row>
    <row r="648" spans="8:11" x14ac:dyDescent="0.3">
      <c r="H648">
        <v>5</v>
      </c>
      <c r="K648">
        <v>10</v>
      </c>
    </row>
    <row r="649" spans="8:11" x14ac:dyDescent="0.3">
      <c r="H649">
        <v>1</v>
      </c>
      <c r="K649">
        <v>6</v>
      </c>
    </row>
    <row r="650" spans="8:11" x14ac:dyDescent="0.3">
      <c r="H650">
        <v>4</v>
      </c>
      <c r="K650">
        <v>9</v>
      </c>
    </row>
    <row r="651" spans="8:11" x14ac:dyDescent="0.3">
      <c r="H651">
        <v>7</v>
      </c>
      <c r="K651">
        <v>3</v>
      </c>
    </row>
    <row r="652" spans="8:11" x14ac:dyDescent="0.3">
      <c r="H652">
        <v>2</v>
      </c>
      <c r="K652">
        <v>9</v>
      </c>
    </row>
    <row r="653" spans="8:11" x14ac:dyDescent="0.3">
      <c r="H653">
        <v>6</v>
      </c>
      <c r="K653">
        <v>3</v>
      </c>
    </row>
    <row r="654" spans="8:11" x14ac:dyDescent="0.3">
      <c r="H654">
        <v>6</v>
      </c>
      <c r="K654">
        <v>8</v>
      </c>
    </row>
    <row r="655" spans="8:11" x14ac:dyDescent="0.3">
      <c r="H655">
        <v>7</v>
      </c>
      <c r="K655">
        <v>9</v>
      </c>
    </row>
    <row r="656" spans="8:11" x14ac:dyDescent="0.3">
      <c r="H656">
        <v>8</v>
      </c>
      <c r="K656">
        <v>8</v>
      </c>
    </row>
    <row r="657" spans="8:11" x14ac:dyDescent="0.3">
      <c r="H657">
        <v>3</v>
      </c>
      <c r="K657">
        <v>6</v>
      </c>
    </row>
    <row r="658" spans="8:11" x14ac:dyDescent="0.3">
      <c r="H658">
        <v>7</v>
      </c>
      <c r="K658">
        <v>4</v>
      </c>
    </row>
    <row r="659" spans="8:11" x14ac:dyDescent="0.3">
      <c r="H659">
        <v>6</v>
      </c>
      <c r="K659">
        <v>7</v>
      </c>
    </row>
    <row r="660" spans="8:11" x14ac:dyDescent="0.3">
      <c r="H660">
        <v>3</v>
      </c>
      <c r="K660">
        <v>8</v>
      </c>
    </row>
    <row r="661" spans="8:11" x14ac:dyDescent="0.3">
      <c r="H661">
        <v>6</v>
      </c>
      <c r="K661">
        <v>4</v>
      </c>
    </row>
    <row r="662" spans="8:11" x14ac:dyDescent="0.3">
      <c r="H662">
        <v>2</v>
      </c>
      <c r="K662">
        <v>4</v>
      </c>
    </row>
    <row r="663" spans="8:11" x14ac:dyDescent="0.3">
      <c r="H663">
        <v>5</v>
      </c>
      <c r="K663">
        <v>7</v>
      </c>
    </row>
    <row r="664" spans="8:11" x14ac:dyDescent="0.3">
      <c r="H664">
        <v>6</v>
      </c>
      <c r="K664">
        <v>8</v>
      </c>
    </row>
    <row r="665" spans="8:11" x14ac:dyDescent="0.3">
      <c r="H665">
        <v>7</v>
      </c>
      <c r="K665">
        <v>4</v>
      </c>
    </row>
    <row r="666" spans="8:11" x14ac:dyDescent="0.3">
      <c r="H666">
        <v>1</v>
      </c>
      <c r="K666">
        <v>5</v>
      </c>
    </row>
    <row r="667" spans="8:11" x14ac:dyDescent="0.3">
      <c r="H667">
        <v>8</v>
      </c>
      <c r="K667">
        <v>7</v>
      </c>
    </row>
    <row r="668" spans="8:11" x14ac:dyDescent="0.3">
      <c r="H668">
        <v>3</v>
      </c>
      <c r="K668">
        <v>7</v>
      </c>
    </row>
    <row r="669" spans="8:11" x14ac:dyDescent="0.3">
      <c r="H669">
        <v>3</v>
      </c>
    </row>
    <row r="670" spans="8:11" x14ac:dyDescent="0.3">
      <c r="H670">
        <v>2</v>
      </c>
    </row>
    <row r="671" spans="8:11" x14ac:dyDescent="0.3">
      <c r="H671">
        <v>5</v>
      </c>
    </row>
    <row r="672" spans="8:11" x14ac:dyDescent="0.3">
      <c r="H672">
        <v>4</v>
      </c>
    </row>
    <row r="673" spans="8:8" x14ac:dyDescent="0.3">
      <c r="H673">
        <v>4</v>
      </c>
    </row>
    <row r="674" spans="8:8" x14ac:dyDescent="0.3">
      <c r="H674">
        <v>1</v>
      </c>
    </row>
    <row r="675" spans="8:8" x14ac:dyDescent="0.3">
      <c r="H675">
        <v>5</v>
      </c>
    </row>
    <row r="676" spans="8:8" x14ac:dyDescent="0.3">
      <c r="H676">
        <v>5</v>
      </c>
    </row>
    <row r="677" spans="8:8" x14ac:dyDescent="0.3">
      <c r="H677">
        <v>5</v>
      </c>
    </row>
    <row r="678" spans="8:8" x14ac:dyDescent="0.3">
      <c r="H678">
        <v>7</v>
      </c>
    </row>
    <row r="679" spans="8:8" x14ac:dyDescent="0.3">
      <c r="H679">
        <v>5</v>
      </c>
    </row>
    <row r="680" spans="8:8" x14ac:dyDescent="0.3">
      <c r="H680">
        <v>1</v>
      </c>
    </row>
    <row r="681" spans="8:8" x14ac:dyDescent="0.3">
      <c r="H681">
        <v>5</v>
      </c>
    </row>
    <row r="682" spans="8:8" x14ac:dyDescent="0.3">
      <c r="H682">
        <v>6</v>
      </c>
    </row>
    <row r="683" spans="8:8" x14ac:dyDescent="0.3">
      <c r="H683">
        <v>8</v>
      </c>
    </row>
    <row r="684" spans="8:8" x14ac:dyDescent="0.3">
      <c r="H684">
        <v>4</v>
      </c>
    </row>
    <row r="685" spans="8:8" x14ac:dyDescent="0.3">
      <c r="H685">
        <v>7</v>
      </c>
    </row>
    <row r="686" spans="8:8" x14ac:dyDescent="0.3">
      <c r="H686">
        <v>4</v>
      </c>
    </row>
    <row r="687" spans="8:8" x14ac:dyDescent="0.3">
      <c r="H687">
        <v>2</v>
      </c>
    </row>
    <row r="688" spans="8:8" x14ac:dyDescent="0.3">
      <c r="H688">
        <v>6</v>
      </c>
    </row>
    <row r="689" spans="8:8" x14ac:dyDescent="0.3">
      <c r="H689">
        <v>6</v>
      </c>
    </row>
    <row r="690" spans="8:8" x14ac:dyDescent="0.3">
      <c r="H690">
        <v>6</v>
      </c>
    </row>
    <row r="691" spans="8:8" x14ac:dyDescent="0.3">
      <c r="H691">
        <v>6</v>
      </c>
    </row>
    <row r="692" spans="8:8" x14ac:dyDescent="0.3">
      <c r="H692">
        <v>6</v>
      </c>
    </row>
    <row r="693" spans="8:8" x14ac:dyDescent="0.3">
      <c r="H693">
        <v>2</v>
      </c>
    </row>
    <row r="694" spans="8:8" x14ac:dyDescent="0.3">
      <c r="H694">
        <v>3</v>
      </c>
    </row>
    <row r="695" spans="8:8" x14ac:dyDescent="0.3">
      <c r="H695">
        <v>7</v>
      </c>
    </row>
    <row r="696" spans="8:8" x14ac:dyDescent="0.3">
      <c r="H696">
        <v>5</v>
      </c>
    </row>
    <row r="697" spans="8:8" x14ac:dyDescent="0.3">
      <c r="H697">
        <v>4</v>
      </c>
    </row>
    <row r="698" spans="8:8" x14ac:dyDescent="0.3">
      <c r="H698">
        <v>6</v>
      </c>
    </row>
    <row r="699" spans="8:8" x14ac:dyDescent="0.3">
      <c r="H699">
        <v>7</v>
      </c>
    </row>
    <row r="700" spans="8:8" x14ac:dyDescent="0.3">
      <c r="H700">
        <v>6</v>
      </c>
    </row>
    <row r="701" spans="8:8" x14ac:dyDescent="0.3">
      <c r="H701">
        <v>6</v>
      </c>
    </row>
    <row r="702" spans="8:8" x14ac:dyDescent="0.3">
      <c r="H702">
        <v>4</v>
      </c>
    </row>
    <row r="703" spans="8:8" x14ac:dyDescent="0.3">
      <c r="H703">
        <v>3</v>
      </c>
    </row>
    <row r="704" spans="8:8" x14ac:dyDescent="0.3">
      <c r="H704">
        <v>7</v>
      </c>
    </row>
    <row r="705" spans="8:8" x14ac:dyDescent="0.3">
      <c r="H705">
        <v>8</v>
      </c>
    </row>
    <row r="706" spans="8:8" x14ac:dyDescent="0.3">
      <c r="H706">
        <v>5</v>
      </c>
    </row>
    <row r="707" spans="8:8" x14ac:dyDescent="0.3">
      <c r="H707">
        <v>5</v>
      </c>
    </row>
    <row r="708" spans="8:8" x14ac:dyDescent="0.3">
      <c r="H708">
        <v>8</v>
      </c>
    </row>
    <row r="709" spans="8:8" x14ac:dyDescent="0.3">
      <c r="H709">
        <v>6</v>
      </c>
    </row>
    <row r="710" spans="8:8" x14ac:dyDescent="0.3">
      <c r="H710">
        <v>7</v>
      </c>
    </row>
    <row r="711" spans="8:8" x14ac:dyDescent="0.3">
      <c r="H711">
        <v>6</v>
      </c>
    </row>
    <row r="712" spans="8:8" x14ac:dyDescent="0.3">
      <c r="H712">
        <v>3</v>
      </c>
    </row>
    <row r="713" spans="8:8" x14ac:dyDescent="0.3">
      <c r="H713">
        <v>1</v>
      </c>
    </row>
    <row r="714" spans="8:8" x14ac:dyDescent="0.3">
      <c r="H714">
        <v>6</v>
      </c>
    </row>
    <row r="715" spans="8:8" x14ac:dyDescent="0.3">
      <c r="H715">
        <v>2</v>
      </c>
    </row>
    <row r="716" spans="8:8" x14ac:dyDescent="0.3">
      <c r="H716">
        <v>5</v>
      </c>
    </row>
    <row r="717" spans="8:8" x14ac:dyDescent="0.3">
      <c r="H717">
        <v>9</v>
      </c>
    </row>
    <row r="718" spans="8:8" x14ac:dyDescent="0.3">
      <c r="H718">
        <v>7</v>
      </c>
    </row>
    <row r="719" spans="8:8" x14ac:dyDescent="0.3">
      <c r="H719">
        <v>3</v>
      </c>
    </row>
    <row r="720" spans="8:8" x14ac:dyDescent="0.3">
      <c r="H720">
        <v>5</v>
      </c>
    </row>
    <row r="721" spans="8:8" x14ac:dyDescent="0.3">
      <c r="H721">
        <v>1</v>
      </c>
    </row>
    <row r="722" spans="8:8" x14ac:dyDescent="0.3">
      <c r="H722">
        <v>6</v>
      </c>
    </row>
    <row r="723" spans="8:8" x14ac:dyDescent="0.3">
      <c r="H723">
        <v>3</v>
      </c>
    </row>
    <row r="724" spans="8:8" x14ac:dyDescent="0.3">
      <c r="H724">
        <v>3</v>
      </c>
    </row>
    <row r="725" spans="8:8" x14ac:dyDescent="0.3">
      <c r="H725">
        <v>5</v>
      </c>
    </row>
    <row r="726" spans="8:8" x14ac:dyDescent="0.3">
      <c r="H726">
        <v>6</v>
      </c>
    </row>
    <row r="727" spans="8:8" x14ac:dyDescent="0.3">
      <c r="H727">
        <v>6</v>
      </c>
    </row>
    <row r="728" spans="8:8" x14ac:dyDescent="0.3">
      <c r="H728">
        <v>3</v>
      </c>
    </row>
    <row r="729" spans="8:8" x14ac:dyDescent="0.3">
      <c r="H729">
        <v>1</v>
      </c>
    </row>
    <row r="730" spans="8:8" x14ac:dyDescent="0.3">
      <c r="H730">
        <v>7</v>
      </c>
    </row>
    <row r="731" spans="8:8" x14ac:dyDescent="0.3">
      <c r="H731">
        <v>1</v>
      </c>
    </row>
    <row r="732" spans="8:8" x14ac:dyDescent="0.3">
      <c r="H732">
        <v>7</v>
      </c>
    </row>
    <row r="733" spans="8:8" x14ac:dyDescent="0.3">
      <c r="H733">
        <v>8</v>
      </c>
    </row>
    <row r="734" spans="8:8" x14ac:dyDescent="0.3">
      <c r="H734">
        <v>7</v>
      </c>
    </row>
    <row r="735" spans="8:8" x14ac:dyDescent="0.3">
      <c r="H735">
        <v>5</v>
      </c>
    </row>
    <row r="736" spans="8:8" x14ac:dyDescent="0.3">
      <c r="H736">
        <v>5</v>
      </c>
    </row>
    <row r="737" spans="8:8" x14ac:dyDescent="0.3">
      <c r="H737">
        <v>9</v>
      </c>
    </row>
    <row r="738" spans="8:8" x14ac:dyDescent="0.3">
      <c r="H738">
        <v>3</v>
      </c>
    </row>
    <row r="739" spans="8:8" x14ac:dyDescent="0.3">
      <c r="H739">
        <v>6</v>
      </c>
    </row>
    <row r="740" spans="8:8" x14ac:dyDescent="0.3">
      <c r="H740">
        <v>6</v>
      </c>
    </row>
    <row r="741" spans="8:8" x14ac:dyDescent="0.3">
      <c r="H741">
        <v>10</v>
      </c>
    </row>
    <row r="742" spans="8:8" x14ac:dyDescent="0.3">
      <c r="H742">
        <v>8</v>
      </c>
    </row>
    <row r="743" spans="8:8" x14ac:dyDescent="0.3">
      <c r="H743">
        <v>7</v>
      </c>
    </row>
    <row r="744" spans="8:8" x14ac:dyDescent="0.3">
      <c r="H744">
        <v>9</v>
      </c>
    </row>
    <row r="745" spans="8:8" x14ac:dyDescent="0.3">
      <c r="H745">
        <v>10</v>
      </c>
    </row>
    <row r="746" spans="8:8" x14ac:dyDescent="0.3">
      <c r="H746">
        <v>5</v>
      </c>
    </row>
    <row r="747" spans="8:8" x14ac:dyDescent="0.3">
      <c r="H747">
        <v>5</v>
      </c>
    </row>
    <row r="748" spans="8:8" x14ac:dyDescent="0.3">
      <c r="H748">
        <v>1</v>
      </c>
    </row>
    <row r="749" spans="8:8" x14ac:dyDescent="0.3">
      <c r="H749">
        <v>3</v>
      </c>
    </row>
    <row r="750" spans="8:8" x14ac:dyDescent="0.3">
      <c r="H750">
        <v>3</v>
      </c>
    </row>
    <row r="751" spans="8:8" x14ac:dyDescent="0.3">
      <c r="H751">
        <v>7</v>
      </c>
    </row>
    <row r="752" spans="8:8" x14ac:dyDescent="0.3">
      <c r="H752">
        <v>7</v>
      </c>
    </row>
    <row r="753" spans="8:8" x14ac:dyDescent="0.3">
      <c r="H753">
        <v>2</v>
      </c>
    </row>
    <row r="754" spans="8:8" x14ac:dyDescent="0.3">
      <c r="H754">
        <v>7</v>
      </c>
    </row>
    <row r="755" spans="8:8" x14ac:dyDescent="0.3">
      <c r="H755">
        <v>2</v>
      </c>
    </row>
    <row r="756" spans="8:8" x14ac:dyDescent="0.3">
      <c r="H756">
        <v>8</v>
      </c>
    </row>
    <row r="757" spans="8:8" x14ac:dyDescent="0.3">
      <c r="H757">
        <v>4</v>
      </c>
    </row>
    <row r="758" spans="8:8" x14ac:dyDescent="0.3">
      <c r="H758">
        <v>5</v>
      </c>
    </row>
    <row r="759" spans="8:8" x14ac:dyDescent="0.3">
      <c r="H759">
        <v>8</v>
      </c>
    </row>
    <row r="760" spans="8:8" x14ac:dyDescent="0.3">
      <c r="H760">
        <v>6</v>
      </c>
    </row>
    <row r="761" spans="8:8" x14ac:dyDescent="0.3">
      <c r="H761">
        <v>1</v>
      </c>
    </row>
    <row r="762" spans="8:8" x14ac:dyDescent="0.3">
      <c r="H762">
        <v>7</v>
      </c>
    </row>
    <row r="763" spans="8:8" x14ac:dyDescent="0.3">
      <c r="H763">
        <v>8</v>
      </c>
    </row>
    <row r="764" spans="8:8" x14ac:dyDescent="0.3">
      <c r="H764">
        <v>10</v>
      </c>
    </row>
    <row r="765" spans="8:8" x14ac:dyDescent="0.3">
      <c r="H765">
        <v>7</v>
      </c>
    </row>
    <row r="766" spans="8:8" x14ac:dyDescent="0.3">
      <c r="H766">
        <v>2</v>
      </c>
    </row>
    <row r="767" spans="8:8" x14ac:dyDescent="0.3">
      <c r="H767">
        <v>5</v>
      </c>
    </row>
    <row r="768" spans="8:8" x14ac:dyDescent="0.3">
      <c r="H768">
        <v>4</v>
      </c>
    </row>
    <row r="769" spans="8:8" x14ac:dyDescent="0.3">
      <c r="H769">
        <v>6</v>
      </c>
    </row>
    <row r="770" spans="8:8" x14ac:dyDescent="0.3">
      <c r="H770">
        <v>2</v>
      </c>
    </row>
    <row r="771" spans="8:8" x14ac:dyDescent="0.3">
      <c r="H771">
        <v>4</v>
      </c>
    </row>
    <row r="772" spans="8:8" x14ac:dyDescent="0.3">
      <c r="H772">
        <v>2</v>
      </c>
    </row>
    <row r="773" spans="8:8" x14ac:dyDescent="0.3">
      <c r="H773">
        <v>2</v>
      </c>
    </row>
    <row r="774" spans="8:8" x14ac:dyDescent="0.3">
      <c r="H774">
        <v>2</v>
      </c>
    </row>
    <row r="775" spans="8:8" x14ac:dyDescent="0.3">
      <c r="H775">
        <v>2</v>
      </c>
    </row>
    <row r="776" spans="8:8" x14ac:dyDescent="0.3">
      <c r="H776">
        <v>2</v>
      </c>
    </row>
    <row r="777" spans="8:8" x14ac:dyDescent="0.3">
      <c r="H777">
        <v>4</v>
      </c>
    </row>
    <row r="778" spans="8:8" x14ac:dyDescent="0.3">
      <c r="H778">
        <v>3</v>
      </c>
    </row>
    <row r="779" spans="8:8" x14ac:dyDescent="0.3">
      <c r="H779">
        <v>2</v>
      </c>
    </row>
    <row r="780" spans="8:8" x14ac:dyDescent="0.3">
      <c r="H780">
        <v>6</v>
      </c>
    </row>
    <row r="781" spans="8:8" x14ac:dyDescent="0.3">
      <c r="H781">
        <v>4</v>
      </c>
    </row>
    <row r="782" spans="8:8" x14ac:dyDescent="0.3">
      <c r="H782">
        <v>8</v>
      </c>
    </row>
    <row r="783" spans="8:8" x14ac:dyDescent="0.3">
      <c r="H783">
        <v>6</v>
      </c>
    </row>
    <row r="784" spans="8:8" x14ac:dyDescent="0.3">
      <c r="H784">
        <v>3</v>
      </c>
    </row>
    <row r="785" spans="8:8" x14ac:dyDescent="0.3">
      <c r="H785">
        <v>8</v>
      </c>
    </row>
    <row r="786" spans="8:8" x14ac:dyDescent="0.3">
      <c r="H786">
        <v>5</v>
      </c>
    </row>
    <row r="787" spans="8:8" x14ac:dyDescent="0.3">
      <c r="H787">
        <v>6</v>
      </c>
    </row>
    <row r="788" spans="8:8" x14ac:dyDescent="0.3">
      <c r="H788">
        <v>3</v>
      </c>
    </row>
    <row r="789" spans="8:8" x14ac:dyDescent="0.3">
      <c r="H789">
        <v>7</v>
      </c>
    </row>
    <row r="790" spans="8:8" x14ac:dyDescent="0.3">
      <c r="H790">
        <v>5</v>
      </c>
    </row>
    <row r="791" spans="8:8" x14ac:dyDescent="0.3">
      <c r="H791">
        <v>3</v>
      </c>
    </row>
    <row r="792" spans="8:8" x14ac:dyDescent="0.3">
      <c r="H792">
        <v>6</v>
      </c>
    </row>
    <row r="793" spans="8:8" x14ac:dyDescent="0.3">
      <c r="H793">
        <v>6</v>
      </c>
    </row>
    <row r="794" spans="8:8" x14ac:dyDescent="0.3">
      <c r="H794">
        <v>1</v>
      </c>
    </row>
    <row r="795" spans="8:8" x14ac:dyDescent="0.3">
      <c r="H795">
        <v>5</v>
      </c>
    </row>
    <row r="796" spans="8:8" x14ac:dyDescent="0.3">
      <c r="H796">
        <v>10</v>
      </c>
    </row>
    <row r="797" spans="8:8" x14ac:dyDescent="0.3">
      <c r="H797">
        <v>6</v>
      </c>
    </row>
    <row r="798" spans="8:8" x14ac:dyDescent="0.3">
      <c r="H798">
        <v>3</v>
      </c>
    </row>
    <row r="799" spans="8:8" x14ac:dyDescent="0.3">
      <c r="H799">
        <v>9</v>
      </c>
    </row>
    <row r="800" spans="8:8" x14ac:dyDescent="0.3">
      <c r="H800">
        <v>3</v>
      </c>
    </row>
    <row r="801" spans="8:8" x14ac:dyDescent="0.3">
      <c r="H801">
        <v>9</v>
      </c>
    </row>
    <row r="802" spans="8:8" x14ac:dyDescent="0.3">
      <c r="H802">
        <v>2</v>
      </c>
    </row>
    <row r="803" spans="8:8" x14ac:dyDescent="0.3">
      <c r="H803">
        <v>8</v>
      </c>
    </row>
    <row r="804" spans="8:8" x14ac:dyDescent="0.3">
      <c r="H804">
        <v>8</v>
      </c>
    </row>
    <row r="805" spans="8:8" x14ac:dyDescent="0.3">
      <c r="H805">
        <v>6</v>
      </c>
    </row>
    <row r="806" spans="8:8" x14ac:dyDescent="0.3">
      <c r="H806">
        <v>4</v>
      </c>
    </row>
    <row r="807" spans="8:8" x14ac:dyDescent="0.3">
      <c r="H807">
        <v>2</v>
      </c>
    </row>
    <row r="808" spans="8:8" x14ac:dyDescent="0.3">
      <c r="H808">
        <v>7</v>
      </c>
    </row>
    <row r="809" spans="8:8" x14ac:dyDescent="0.3">
      <c r="H809">
        <v>6</v>
      </c>
    </row>
    <row r="810" spans="8:8" x14ac:dyDescent="0.3">
      <c r="H810">
        <v>6</v>
      </c>
    </row>
    <row r="811" spans="8:8" x14ac:dyDescent="0.3">
      <c r="H811">
        <v>3</v>
      </c>
    </row>
    <row r="812" spans="8:8" x14ac:dyDescent="0.3">
      <c r="H812">
        <v>7</v>
      </c>
    </row>
    <row r="813" spans="8:8" x14ac:dyDescent="0.3">
      <c r="H813">
        <v>4</v>
      </c>
    </row>
    <row r="814" spans="8:8" x14ac:dyDescent="0.3">
      <c r="H814">
        <v>4</v>
      </c>
    </row>
    <row r="815" spans="8:8" x14ac:dyDescent="0.3">
      <c r="H815">
        <v>4</v>
      </c>
    </row>
    <row r="816" spans="8:8" x14ac:dyDescent="0.3">
      <c r="H816">
        <v>7</v>
      </c>
    </row>
    <row r="817" spans="8:8" x14ac:dyDescent="0.3">
      <c r="H817">
        <v>5</v>
      </c>
    </row>
    <row r="818" spans="8:8" x14ac:dyDescent="0.3">
      <c r="H818">
        <v>3</v>
      </c>
    </row>
    <row r="819" spans="8:8" x14ac:dyDescent="0.3">
      <c r="H819">
        <v>8</v>
      </c>
    </row>
    <row r="820" spans="8:8" x14ac:dyDescent="0.3">
      <c r="H820">
        <v>4</v>
      </c>
    </row>
    <row r="821" spans="8:8" x14ac:dyDescent="0.3">
      <c r="H821">
        <v>5</v>
      </c>
    </row>
    <row r="822" spans="8:8" x14ac:dyDescent="0.3">
      <c r="H822">
        <v>7</v>
      </c>
    </row>
    <row r="823" spans="8:8" x14ac:dyDescent="0.3">
      <c r="H823">
        <v>7</v>
      </c>
    </row>
  </sheetData>
  <pageMargins left="0.7" right="0.7" top="0.78740157499999996" bottom="0.78740157499999996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dataset_prodejny_nabytek</vt:lpstr>
      <vt:lpstr>deskriptiva</vt:lpstr>
      <vt:lpstr>ukol1</vt:lpstr>
      <vt:lpstr>explorace</vt:lpstr>
      <vt:lpstr>grafy</vt:lpstr>
      <vt:lpstr>ukol2</vt:lpstr>
      <vt:lpstr>diagnostika</vt:lpstr>
      <vt:lpstr>datamining</vt:lpstr>
      <vt:lpstr>ukol3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Hamšík</cp:lastModifiedBy>
  <dcterms:created xsi:type="dcterms:W3CDTF">2025-08-26T12:44:46Z</dcterms:created>
  <dcterms:modified xsi:type="dcterms:W3CDTF">2026-07-04T15:55:52Z</dcterms:modified>
</cp:coreProperties>
</file>