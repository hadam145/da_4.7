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itn\skoleni\dat_analyza_skoleni\17.5_+30.dat_anal\"/>
    </mc:Choice>
  </mc:AlternateContent>
  <xr:revisionPtr revIDLastSave="0" documentId="13_ncr:1_{2E845869-694B-4D54-926C-15ED7D4F09DA}" xr6:coauthVersionLast="47" xr6:coauthVersionMax="47" xr10:uidLastSave="{00000000-0000-0000-0000-000000000000}"/>
  <bookViews>
    <workbookView xWindow="-25500" yWindow="2250" windowWidth="23040" windowHeight="12120" xr2:uid="{00000000-000D-0000-FFFF-FFFF00000000}"/>
  </bookViews>
  <sheets>
    <sheet name="Dataset_realitn_ch_makl___" sheetId="1" r:id="rId1"/>
  </sheets>
  <definedNames>
    <definedName name="_xlchart.v1.0" hidden="1">Dataset_realitn_ch_makl___!$I$43</definedName>
    <definedName name="_xlchart.v1.1" hidden="1">Dataset_realitn_ch_makl___!$I$44:$I$54</definedName>
    <definedName name="_xlchart.v1.2" hidden="1">Dataset_realitn_ch_makl___!$J$43</definedName>
    <definedName name="_xlchart.v1.3" hidden="1">Dataset_realitn_ch_makl___!$J$44:$J$54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 a="1"/>
  <c r="J44" i="1" s="1"/>
  <c r="I44" i="1" a="1"/>
  <c r="I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<sst xmlns="http://schemas.openxmlformats.org/spreadsheetml/2006/main" count="159" uniqueCount="51">
  <si>
    <t>Jméno</t>
  </si>
  <si>
    <t>Pohlaví</t>
  </si>
  <si>
    <t>Věk</t>
  </si>
  <si>
    <t>Vzdělání</t>
  </si>
  <si>
    <t>Počet let praxe</t>
  </si>
  <si>
    <t>Počet prodaných nemovitostí (2024)</t>
  </si>
  <si>
    <t>Specializace</t>
  </si>
  <si>
    <t>Spokojenost klientů (%)</t>
  </si>
  <si>
    <t>Zájem o školení (ano/ne)</t>
  </si>
  <si>
    <t>Jan Novák</t>
  </si>
  <si>
    <t>M</t>
  </si>
  <si>
    <t>VŠ</t>
  </si>
  <si>
    <t>Byty</t>
  </si>
  <si>
    <t>ano</t>
  </si>
  <si>
    <t>Petra Svobodová</t>
  </si>
  <si>
    <t>Ž</t>
  </si>
  <si>
    <t>SŠ</t>
  </si>
  <si>
    <t>Martin Dvořák</t>
  </si>
  <si>
    <t>Domy</t>
  </si>
  <si>
    <t>Lucie Procházková</t>
  </si>
  <si>
    <t>Tomáš Král</t>
  </si>
  <si>
    <t>ne</t>
  </si>
  <si>
    <t>Eva Černá</t>
  </si>
  <si>
    <t>Komerční prostory</t>
  </si>
  <si>
    <t>Karel Malý</t>
  </si>
  <si>
    <t>Anna Veselá</t>
  </si>
  <si>
    <t>Pavel Horák</t>
  </si>
  <si>
    <t>Jana Fialová</t>
  </si>
  <si>
    <t>Marek Němec</t>
  </si>
  <si>
    <t>Monika Pokorná</t>
  </si>
  <si>
    <t>David Jelínek</t>
  </si>
  <si>
    <t>Tereza Bartošová</t>
  </si>
  <si>
    <t>Jakub Hájek</t>
  </si>
  <si>
    <t>Alena Kovářová</t>
  </si>
  <si>
    <t>Filip Kučera</t>
  </si>
  <si>
    <t>Barbora Sedláčková</t>
  </si>
  <si>
    <t>Ondřej Urban</t>
  </si>
  <si>
    <t>Veronika Růžičková</t>
  </si>
  <si>
    <t>Popisky řádků</t>
  </si>
  <si>
    <t>Celkový součet</t>
  </si>
  <si>
    <t>Součet z Počet prodaných nemovitostí (2024)</t>
  </si>
  <si>
    <t>Průměr z Spokojenost klientů (%)</t>
  </si>
  <si>
    <t>Počet z Pohlaví</t>
  </si>
  <si>
    <t>1.</t>
  </si>
  <si>
    <t>2.</t>
  </si>
  <si>
    <t>3.</t>
  </si>
  <si>
    <t>4.</t>
  </si>
  <si>
    <t>5.</t>
  </si>
  <si>
    <t>6.</t>
  </si>
  <si>
    <t>7.</t>
  </si>
  <si>
    <t>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</si>
</sst>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000000"/>
      <name val="Arial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</cellXfs>
  <cellStyles count="1">
    <cellStyle name="Normální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Dataset_realitn_ch_makl___!$F$1</c:f>
              <c:strCache>
                <c:ptCount val="1"/>
                <c:pt idx="0">
                  <c:v>Počet prodaných nemovitostí (2024)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Dataset_realitn_ch_makl___!$E$2:$E$21</c:f>
              <c:numCache>
                <c:formatCode>General</c:formatCode>
                <c:ptCount val="20"/>
                <c:pt idx="0">
                  <c:v>7</c:v>
                </c:pt>
                <c:pt idx="1">
                  <c:v>2</c:v>
                </c:pt>
                <c:pt idx="2">
                  <c:v>14</c:v>
                </c:pt>
                <c:pt idx="3">
                  <c:v>4</c:v>
                </c:pt>
                <c:pt idx="4">
                  <c:v>11</c:v>
                </c:pt>
                <c:pt idx="5">
                  <c:v>17</c:v>
                </c:pt>
                <c:pt idx="6">
                  <c:v>7</c:v>
                </c:pt>
                <c:pt idx="7">
                  <c:v>14</c:v>
                </c:pt>
                <c:pt idx="8">
                  <c:v>20</c:v>
                </c:pt>
                <c:pt idx="9">
                  <c:v>12</c:v>
                </c:pt>
                <c:pt idx="10">
                  <c:v>1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20</c:v>
                </c:pt>
                <c:pt idx="15">
                  <c:v>16</c:v>
                </c:pt>
                <c:pt idx="16">
                  <c:v>9</c:v>
                </c:pt>
                <c:pt idx="17">
                  <c:v>16</c:v>
                </c:pt>
                <c:pt idx="18">
                  <c:v>17</c:v>
                </c:pt>
                <c:pt idx="19">
                  <c:v>11</c:v>
                </c:pt>
              </c:numCache>
            </c:numRef>
          </c:xVal>
          <c:yVal>
            <c:numRef>
              <c:f>Dataset_realitn_ch_makl___!$F$2:$F$21</c:f>
              <c:numCache>
                <c:formatCode>General</c:formatCode>
                <c:ptCount val="20"/>
                <c:pt idx="0">
                  <c:v>19</c:v>
                </c:pt>
                <c:pt idx="1">
                  <c:v>18</c:v>
                </c:pt>
                <c:pt idx="2">
                  <c:v>42</c:v>
                </c:pt>
                <c:pt idx="3">
                  <c:v>18</c:v>
                </c:pt>
                <c:pt idx="4">
                  <c:v>43</c:v>
                </c:pt>
                <c:pt idx="5">
                  <c:v>23</c:v>
                </c:pt>
                <c:pt idx="6">
                  <c:v>54</c:v>
                </c:pt>
                <c:pt idx="7">
                  <c:v>45</c:v>
                </c:pt>
                <c:pt idx="8">
                  <c:v>9</c:v>
                </c:pt>
                <c:pt idx="9">
                  <c:v>22</c:v>
                </c:pt>
                <c:pt idx="10">
                  <c:v>56</c:v>
                </c:pt>
                <c:pt idx="11">
                  <c:v>46</c:v>
                </c:pt>
                <c:pt idx="12">
                  <c:v>52</c:v>
                </c:pt>
                <c:pt idx="13">
                  <c:v>13</c:v>
                </c:pt>
                <c:pt idx="14">
                  <c:v>15</c:v>
                </c:pt>
                <c:pt idx="15">
                  <c:v>21</c:v>
                </c:pt>
                <c:pt idx="16">
                  <c:v>32</c:v>
                </c:pt>
                <c:pt idx="17">
                  <c:v>11</c:v>
                </c:pt>
                <c:pt idx="18">
                  <c:v>54</c:v>
                </c:pt>
                <c:pt idx="19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7-4958-8054-3A01880C8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606048"/>
        <c:axId val="464607008"/>
      </c:scatterChart>
      <c:valAx>
        <c:axId val="46460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let praxe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4607008"/>
        <c:crosses val="autoZero"/>
        <c:crossBetween val="midCat"/>
      </c:valAx>
      <c:valAx>
        <c:axId val="4646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prodaných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460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[dataset_makleri_rucne.xlsx]Dataset_realitn_ch_makl___!Kontingenční tabulka1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Dataset_realitn_ch_makl___!$M$2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Dataset_realitn_ch_makl___!$L$3:$L$23</c:f>
              <c:strCache>
                <c:ptCount val="20"/>
                <c:pt idx="0">
                  <c:v>Alena Kovářová</c:v>
                </c:pt>
                <c:pt idx="1">
                  <c:v>Anna Veselá</c:v>
                </c:pt>
                <c:pt idx="2">
                  <c:v>Barbora Sedláčková</c:v>
                </c:pt>
                <c:pt idx="3">
                  <c:v>David Jelínek</c:v>
                </c:pt>
                <c:pt idx="4">
                  <c:v>Eva Černá</c:v>
                </c:pt>
                <c:pt idx="5">
                  <c:v>Filip Kučera</c:v>
                </c:pt>
                <c:pt idx="6">
                  <c:v>Jakub Hájek</c:v>
                </c:pt>
                <c:pt idx="7">
                  <c:v>Jan Novák</c:v>
                </c:pt>
                <c:pt idx="8">
                  <c:v>Jana Fialová</c:v>
                </c:pt>
                <c:pt idx="9">
                  <c:v>Karel Malý</c:v>
                </c:pt>
                <c:pt idx="10">
                  <c:v>Lucie Procházková</c:v>
                </c:pt>
                <c:pt idx="11">
                  <c:v>Marek Němec</c:v>
                </c:pt>
                <c:pt idx="12">
                  <c:v>Martin Dvořák</c:v>
                </c:pt>
                <c:pt idx="13">
                  <c:v>Monika Pokorná</c:v>
                </c:pt>
                <c:pt idx="14">
                  <c:v>Ondřej Urban</c:v>
                </c:pt>
                <c:pt idx="15">
                  <c:v>Pavel Horák</c:v>
                </c:pt>
                <c:pt idx="16">
                  <c:v>Petra Svobodová</c:v>
                </c:pt>
                <c:pt idx="17">
                  <c:v>Tereza Bartošová</c:v>
                </c:pt>
                <c:pt idx="18">
                  <c:v>Tomáš Král</c:v>
                </c:pt>
                <c:pt idx="19">
                  <c:v>Veronika Růžičková</c:v>
                </c:pt>
              </c:strCache>
            </c:strRef>
          </c:cat>
          <c:val>
            <c:numRef>
              <c:f>Dataset_realitn_ch_makl___!$M$3:$M$23</c:f>
              <c:numCache>
                <c:formatCode>General</c:formatCode>
                <c:ptCount val="20"/>
                <c:pt idx="0">
                  <c:v>21</c:v>
                </c:pt>
                <c:pt idx="1">
                  <c:v>45</c:v>
                </c:pt>
                <c:pt idx="2">
                  <c:v>11</c:v>
                </c:pt>
                <c:pt idx="3">
                  <c:v>52</c:v>
                </c:pt>
                <c:pt idx="4">
                  <c:v>23</c:v>
                </c:pt>
                <c:pt idx="5">
                  <c:v>32</c:v>
                </c:pt>
                <c:pt idx="6">
                  <c:v>15</c:v>
                </c:pt>
                <c:pt idx="7">
                  <c:v>19</c:v>
                </c:pt>
                <c:pt idx="8">
                  <c:v>22</c:v>
                </c:pt>
                <c:pt idx="9">
                  <c:v>54</c:v>
                </c:pt>
                <c:pt idx="10">
                  <c:v>18</c:v>
                </c:pt>
                <c:pt idx="11">
                  <c:v>56</c:v>
                </c:pt>
                <c:pt idx="12">
                  <c:v>42</c:v>
                </c:pt>
                <c:pt idx="13">
                  <c:v>46</c:v>
                </c:pt>
                <c:pt idx="14">
                  <c:v>54</c:v>
                </c:pt>
                <c:pt idx="15">
                  <c:v>9</c:v>
                </c:pt>
                <c:pt idx="16">
                  <c:v>18</c:v>
                </c:pt>
                <c:pt idx="17">
                  <c:v>13</c:v>
                </c:pt>
                <c:pt idx="18">
                  <c:v>43</c:v>
                </c:pt>
                <c:pt idx="1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A-48D1-A061-B9CB454D8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20448"/>
        <c:axId val="464631008"/>
      </c:barChart>
      <c:catAx>
        <c:axId val="46462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Makléř</a:t>
                </a:r>
              </a:p>
              <a:p>
                <a:pPr>
                  <a:defRPr/>
                </a:pP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4631008"/>
        <c:crosses val="autoZero"/>
        <c:auto val="1"/>
        <c:lblAlgn val="ctr"/>
        <c:lblOffset val="100"/>
        <c:noMultiLvlLbl val="0"/>
      </c:catAx>
      <c:valAx>
        <c:axId val="4646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nemovitostí</a:t>
                </a:r>
              </a:p>
              <a:p>
                <a:pPr>
                  <a:defRPr/>
                </a:pP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462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[dataset_makleri_rucne.xlsx]Dataset_realitn_ch_makl___!Kontingenční tabulka4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Dataset_realitn_ch_makl___!$C$34</c:f>
              <c:strCache>
                <c:ptCount val="1"/>
                <c:pt idx="0">
                  <c:v>Celkem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A5-493A-8204-0392BE949F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A5-493A-8204-0392BE949F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Dataset_realitn_ch_makl___!$B$35:$B$37</c:f>
              <c:strCache>
                <c:ptCount val="2"/>
                <c:pt idx="0">
                  <c:v>M</c:v>
                </c:pt>
                <c:pt idx="1">
                  <c:v>Ž</c:v>
                </c:pt>
              </c:strCache>
            </c:strRef>
          </c:cat>
          <c:val>
            <c:numRef>
              <c:f>Dataset_realitn_ch_makl___!$C$35:$C$37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1-45CB-91A7-593BF1FD46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352077865266844"/>
          <c:y val="2.7720027720027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Dataset_realitn_ch_makl___!$H$1</c:f>
              <c:strCache>
                <c:ptCount val="1"/>
                <c:pt idx="0">
                  <c:v>Spokojenost klientů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Dataset_realitn_ch_makl___!$E$2:$E$21</c:f>
              <c:numCache>
                <c:formatCode>General</c:formatCode>
                <c:ptCount val="20"/>
                <c:pt idx="0">
                  <c:v>7</c:v>
                </c:pt>
                <c:pt idx="1">
                  <c:v>2</c:v>
                </c:pt>
                <c:pt idx="2">
                  <c:v>14</c:v>
                </c:pt>
                <c:pt idx="3">
                  <c:v>4</c:v>
                </c:pt>
                <c:pt idx="4">
                  <c:v>11</c:v>
                </c:pt>
                <c:pt idx="5">
                  <c:v>17</c:v>
                </c:pt>
                <c:pt idx="6">
                  <c:v>7</c:v>
                </c:pt>
                <c:pt idx="7">
                  <c:v>14</c:v>
                </c:pt>
                <c:pt idx="8">
                  <c:v>20</c:v>
                </c:pt>
                <c:pt idx="9">
                  <c:v>12</c:v>
                </c:pt>
                <c:pt idx="10">
                  <c:v>1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20</c:v>
                </c:pt>
                <c:pt idx="15">
                  <c:v>16</c:v>
                </c:pt>
                <c:pt idx="16">
                  <c:v>9</c:v>
                </c:pt>
                <c:pt idx="17">
                  <c:v>16</c:v>
                </c:pt>
                <c:pt idx="18">
                  <c:v>17</c:v>
                </c:pt>
                <c:pt idx="19">
                  <c:v>11</c:v>
                </c:pt>
              </c:numCache>
            </c:numRef>
          </c:xVal>
          <c:yVal>
            <c:numRef>
              <c:f>Dataset_realitn_ch_makl___!$H$2:$H$21</c:f>
              <c:numCache>
                <c:formatCode>General</c:formatCode>
                <c:ptCount val="20"/>
                <c:pt idx="0">
                  <c:v>66</c:v>
                </c:pt>
                <c:pt idx="1">
                  <c:v>92</c:v>
                </c:pt>
                <c:pt idx="2">
                  <c:v>60</c:v>
                </c:pt>
                <c:pt idx="3">
                  <c:v>66</c:v>
                </c:pt>
                <c:pt idx="4">
                  <c:v>62</c:v>
                </c:pt>
                <c:pt idx="5">
                  <c:v>99</c:v>
                </c:pt>
                <c:pt idx="6">
                  <c:v>65</c:v>
                </c:pt>
                <c:pt idx="7">
                  <c:v>70</c:v>
                </c:pt>
                <c:pt idx="8">
                  <c:v>100</c:v>
                </c:pt>
                <c:pt idx="9">
                  <c:v>95</c:v>
                </c:pt>
                <c:pt idx="10">
                  <c:v>85</c:v>
                </c:pt>
                <c:pt idx="11">
                  <c:v>85</c:v>
                </c:pt>
                <c:pt idx="12">
                  <c:v>94</c:v>
                </c:pt>
                <c:pt idx="13">
                  <c:v>91</c:v>
                </c:pt>
                <c:pt idx="14">
                  <c:v>87</c:v>
                </c:pt>
                <c:pt idx="15">
                  <c:v>60</c:v>
                </c:pt>
                <c:pt idx="16">
                  <c:v>89</c:v>
                </c:pt>
                <c:pt idx="17">
                  <c:v>79</c:v>
                </c:pt>
                <c:pt idx="18">
                  <c:v>60</c:v>
                </c:pt>
                <c:pt idx="1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5-41FB-93AA-2455FD0A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52528"/>
        <c:axId val="91153008"/>
      </c:scatterChart>
      <c:valAx>
        <c:axId val="9115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Délka</a:t>
                </a:r>
                <a:r>
                  <a:rPr lang="cs-CZ" baseline="0"/>
                  <a:t> praxe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1153008"/>
        <c:crosses val="autoZero"/>
        <c:crossBetween val="midCat"/>
      </c:valAx>
      <c:valAx>
        <c:axId val="911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Spokojenost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115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1426A96D-8CE9-484B-8850-6082A4372031}">
          <cx:tx>
            <cx:txData>
              <cx:f>_xlchart.v1.0</cx:f>
              <cx:v>SŠ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44EDDF5-25EB-4B33-B3D1-D5E39FAFAB56}">
          <cx:tx>
            <cx:txData>
              <cx:f>_xlchart.v1.2</cx:f>
              <cx:v>VŠ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cs-CZ" sz="9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Arial"/>
                    <a:cs typeface="Arial"/>
                  </a:rPr>
                  <a:t>Vzdělání</a:t>
                </a:r>
              </a:p>
              <a:p>
                <a:pPr algn="ctr" rtl="0">
                  <a:defRPr/>
                </a:pPr>
                <a:endParaRPr lang="cs-CZ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Spokojenost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cs-CZ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Spokojenost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793024</xdr:colOff>
      <xdr:row>25</xdr:row>
      <xdr:rowOff>116476</xdr:rowOff>
    </xdr:from>
    <xdr:to>
      <xdr:col>11</xdr:col>
      <xdr:colOff>328476</xdr:colOff>
      <xdr:row>39</xdr:row>
      <xdr:rowOff>2176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B6DDE3B9-A19B-1CBE-7DCC-F11C0568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629739</xdr:colOff>
      <xdr:row>25</xdr:row>
      <xdr:rowOff>75654</xdr:rowOff>
    </xdr:from>
    <xdr:to>
      <xdr:col>15</xdr:col>
      <xdr:colOff>614227</xdr:colOff>
      <xdr:row>38</xdr:row>
      <xdr:rowOff>165462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9B13A605-172C-C455-1449-E58C0676D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526868</xdr:colOff>
      <xdr:row>31</xdr:row>
      <xdr:rowOff>32929</xdr:rowOff>
    </xdr:from>
    <xdr:to>
      <xdr:col>6</xdr:col>
      <xdr:colOff>1175929</xdr:colOff>
      <xdr:row>44</xdr:row>
      <xdr:rowOff>124641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7CC26BF5-FC48-7460-AC07-1A471199A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272708</xdr:colOff>
      <xdr:row>43</xdr:row>
      <xdr:rowOff>66382</xdr:rowOff>
    </xdr:from>
    <xdr:to>
      <xdr:col>12</xdr:col>
      <xdr:colOff>2789946</xdr:colOff>
      <xdr:row>57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 4">
              <a:extLst>
                <a:ext uri="{FF2B5EF4-FFF2-40B4-BE49-F238E27FC236}">
                  <a16:creationId xmlns:a16="http://schemas.microsoft.com/office/drawing/2014/main" id="{DB88E908-9984-598A-F9BD-D6C2FFCC64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76413" y="8094052"/>
              <a:ext cx="4584163" cy="2773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  <xdr:twoCellAnchor>
    <xdr:from>
      <xdr:col>4</xdr:col>
      <xdr:colOff>1011555</xdr:colOff>
      <xdr:row>46</xdr:row>
      <xdr:rowOff>168592</xdr:rowOff>
    </xdr:from>
    <xdr:to>
      <xdr:col>6</xdr:col>
      <xdr:colOff>1657350</xdr:colOff>
      <xdr:row>60</xdr:row>
      <xdr:rowOff>113347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9ECAA233-A7B8-E329-BDA8-3919479A7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Hamšík" refreshedDate="46172.743111111115" createdVersion="8" refreshedVersion="8" minRefreshableVersion="3" recordCount="20" xr:uid="{F0FE2DBB-8461-4A69-BC3A-8AE20982286A}">
  <cacheSource type="worksheet">
    <worksheetSource name="Tabulka1"/>
  </cacheSource>
  <cacheFields count="9">
    <cacheField name="Jméno" numFmtId="0">
      <sharedItems count="20">
        <s v="Jan Novák"/>
        <s v="Petra Svobodová"/>
        <s v="Martin Dvořák"/>
        <s v="Lucie Procházková"/>
        <s v="Tomáš Král"/>
        <s v="Eva Černá"/>
        <s v="Karel Malý"/>
        <s v="Anna Veselá"/>
        <s v="Pavel Horák"/>
        <s v="Jana Fialová"/>
        <s v="Marek Němec"/>
        <s v="Monika Pokorná"/>
        <s v="David Jelínek"/>
        <s v="Tereza Bartošová"/>
        <s v="Jakub Hájek"/>
        <s v="Alena Kovářová"/>
        <s v="Filip Kučera"/>
        <s v="Barbora Sedláčková"/>
        <s v="Ondřej Urban"/>
        <s v="Veronika Růžičková"/>
      </sharedItems>
    </cacheField>
    <cacheField name="Pohlaví" numFmtId="0">
      <sharedItems count="2">
        <s v="M"/>
        <s v="Ž"/>
      </sharedItems>
    </cacheField>
    <cacheField name="Věk" numFmtId="0">
      <sharedItems containsSemiMixedTypes="0" containsString="0" containsNumber="1" containsInteger="1" minValue="24" maxValue="55"/>
    </cacheField>
    <cacheField name="Vzdělání" numFmtId="0">
      <sharedItems count="2">
        <s v="VŠ"/>
        <s v="SŠ"/>
      </sharedItems>
    </cacheField>
    <cacheField name="Počet let praxe" numFmtId="0">
      <sharedItems containsSemiMixedTypes="0" containsString="0" containsNumber="1" containsInteger="1" minValue="1" maxValue="20"/>
    </cacheField>
    <cacheField name="Počet prodaných nemovitostí (2024)" numFmtId="0">
      <sharedItems containsSemiMixedTypes="0" containsString="0" containsNumber="1" containsInteger="1" minValue="9" maxValue="58"/>
    </cacheField>
    <cacheField name="Specializace" numFmtId="0">
      <sharedItems count="3">
        <s v="Byty"/>
        <s v="Domy"/>
        <s v="Komerční prostory"/>
      </sharedItems>
    </cacheField>
    <cacheField name="Spokojenost klientů (%)" numFmtId="0">
      <sharedItems containsSemiMixedTypes="0" containsString="0" containsNumber="1" containsInteger="1" minValue="60" maxValue="100"/>
    </cacheField>
    <cacheField name="Zájem o školení (ano/ne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24"/>
    <x v="0"/>
    <n v="7"/>
    <n v="19"/>
    <x v="0"/>
    <n v="66"/>
    <s v="ano"/>
  </r>
  <r>
    <x v="1"/>
    <x v="1"/>
    <n v="25"/>
    <x v="1"/>
    <n v="2"/>
    <n v="18"/>
    <x v="0"/>
    <n v="92"/>
    <s v="ano"/>
  </r>
  <r>
    <x v="2"/>
    <x v="0"/>
    <n v="49"/>
    <x v="1"/>
    <n v="14"/>
    <n v="42"/>
    <x v="1"/>
    <n v="60"/>
    <s v="ano"/>
  </r>
  <r>
    <x v="3"/>
    <x v="1"/>
    <n v="44"/>
    <x v="0"/>
    <n v="4"/>
    <n v="18"/>
    <x v="1"/>
    <n v="66"/>
    <s v="ano"/>
  </r>
  <r>
    <x v="4"/>
    <x v="1"/>
    <n v="29"/>
    <x v="0"/>
    <n v="11"/>
    <n v="43"/>
    <x v="1"/>
    <n v="62"/>
    <s v="ne"/>
  </r>
  <r>
    <x v="5"/>
    <x v="0"/>
    <n v="47"/>
    <x v="1"/>
    <n v="17"/>
    <n v="23"/>
    <x v="2"/>
    <n v="99"/>
    <s v="ne"/>
  </r>
  <r>
    <x v="6"/>
    <x v="0"/>
    <n v="27"/>
    <x v="1"/>
    <n v="7"/>
    <n v="54"/>
    <x v="1"/>
    <n v="65"/>
    <s v="ano"/>
  </r>
  <r>
    <x v="7"/>
    <x v="0"/>
    <n v="47"/>
    <x v="0"/>
    <n v="14"/>
    <n v="45"/>
    <x v="1"/>
    <n v="70"/>
    <s v="ne"/>
  </r>
  <r>
    <x v="8"/>
    <x v="1"/>
    <n v="36"/>
    <x v="0"/>
    <n v="20"/>
    <n v="9"/>
    <x v="2"/>
    <n v="100"/>
    <s v="ano"/>
  </r>
  <r>
    <x v="9"/>
    <x v="0"/>
    <n v="33"/>
    <x v="0"/>
    <n v="12"/>
    <n v="22"/>
    <x v="2"/>
    <n v="95"/>
    <s v="ano"/>
  </r>
  <r>
    <x v="10"/>
    <x v="1"/>
    <n v="26"/>
    <x v="1"/>
    <n v="1"/>
    <n v="56"/>
    <x v="1"/>
    <n v="85"/>
    <s v="ne"/>
  </r>
  <r>
    <x v="11"/>
    <x v="0"/>
    <n v="36"/>
    <x v="0"/>
    <n v="6"/>
    <n v="46"/>
    <x v="1"/>
    <n v="85"/>
    <s v="ne"/>
  </r>
  <r>
    <x v="12"/>
    <x v="0"/>
    <n v="39"/>
    <x v="1"/>
    <n v="7"/>
    <n v="52"/>
    <x v="2"/>
    <n v="94"/>
    <s v="ne"/>
  </r>
  <r>
    <x v="13"/>
    <x v="1"/>
    <n v="48"/>
    <x v="0"/>
    <n v="7"/>
    <n v="13"/>
    <x v="2"/>
    <n v="91"/>
    <s v="ano"/>
  </r>
  <r>
    <x v="14"/>
    <x v="0"/>
    <n v="30"/>
    <x v="1"/>
    <n v="20"/>
    <n v="15"/>
    <x v="2"/>
    <n v="87"/>
    <s v="ano"/>
  </r>
  <r>
    <x v="15"/>
    <x v="1"/>
    <n v="47"/>
    <x v="0"/>
    <n v="16"/>
    <n v="21"/>
    <x v="2"/>
    <n v="60"/>
    <s v="ano"/>
  </r>
  <r>
    <x v="16"/>
    <x v="1"/>
    <n v="44"/>
    <x v="1"/>
    <n v="9"/>
    <n v="32"/>
    <x v="0"/>
    <n v="89"/>
    <s v="ano"/>
  </r>
  <r>
    <x v="17"/>
    <x v="1"/>
    <n v="55"/>
    <x v="1"/>
    <n v="16"/>
    <n v="11"/>
    <x v="2"/>
    <n v="79"/>
    <s v="ano"/>
  </r>
  <r>
    <x v="18"/>
    <x v="0"/>
    <n v="46"/>
    <x v="1"/>
    <n v="17"/>
    <n v="54"/>
    <x v="2"/>
    <n v="60"/>
    <s v="ne"/>
  </r>
  <r>
    <x v="19"/>
    <x v="1"/>
    <n v="24"/>
    <x v="1"/>
    <n v="11"/>
    <n v="58"/>
    <x v="1"/>
    <n v="75"/>
    <s v="a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42A7A-8972-47FF-8849-A9B288CC5044}" name="Kontingenční tabulka4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5">
  <location ref="B34:C37" firstHeaderRow="1" firstDataRow="1" firstDataCol="1"/>
  <pivotFields count="9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Počet z Pohlaví" fld="1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4150E-0AD4-4998-A65C-EA8A3EB95928}" name="Kontingenční tabulka3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E26:G29" firstHeaderRow="0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učet z Počet prodaných nemovitostí (2024)" fld="5" baseField="0" baseItem="0"/>
    <dataField name="Průměr z Spokojenost klientů (%)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B5FB1-ECAD-47A3-B71E-69AF0A050D43}" name="Kontingenční tabulka2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B26:C30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ůměr z Spokojenost klientů (%)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3E07F-CE55-4DBF-B4D8-DDCD952EB78E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4">
  <location ref="L2:M23" firstHeaderRow="1" firstDataRow="1" firstDataCol="1"/>
  <pivotFields count="9">
    <pivotField axis="axisRow" showAll="0">
      <items count="21">
        <item x="15"/>
        <item x="7"/>
        <item x="17"/>
        <item x="12"/>
        <item x="5"/>
        <item x="16"/>
        <item x="14"/>
        <item x="0"/>
        <item x="9"/>
        <item x="6"/>
        <item x="3"/>
        <item x="10"/>
        <item x="2"/>
        <item x="11"/>
        <item x="18"/>
        <item x="8"/>
        <item x="1"/>
        <item x="13"/>
        <item x="4"/>
        <item x="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oučet z Počet prodaných nemovitostí (2024)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DF437-F9E7-4776-926E-1AE0B6431AF0}" name="Tabulka1" displayName="Tabulka1" ref="A1:I21" totalsRowShown="0" headerRowDxfId="10" dataDxfId="9">
  <autoFilter ref="A1:I21" xr:uid="{D5FDF437-F9E7-4776-926E-1AE0B6431A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38B5D67-E885-48DA-BCDC-E44F0450E5E4}" name="Jméno" dataDxfId="8"/>
    <tableColumn id="2" xr3:uid="{76D3B03B-87E8-4F9D-A046-DAE7D05F88E8}" name="Pohlaví" dataDxfId="7"/>
    <tableColumn id="3" xr3:uid="{C731C299-8021-4434-8E0D-6B3BB34B7B65}" name="Věk" dataDxfId="6"/>
    <tableColumn id="4" xr3:uid="{6B01F0A1-FB02-4FE1-80DA-8EBC01D12C49}" name="Vzdělání" dataDxfId="5"/>
    <tableColumn id="5" xr3:uid="{309382DC-F342-4723-BA29-1F3380660625}" name="Počet let praxe" dataDxfId="4"/>
    <tableColumn id="6" xr3:uid="{F21F0D65-80A9-4B7B-B9DD-89CE0F478EB2}" name="Počet prodaných nemovitostí (2024)" dataDxfId="3"/>
    <tableColumn id="7" xr3:uid="{74D9EAB4-5002-450A-80E1-D066690ED43A}" name="Specializace" dataDxfId="2"/>
    <tableColumn id="8" xr3:uid="{92C83138-8E8D-4817-8F54-14DA081CA346}" name="Spokojenost klientů (%)" dataDxfId="1"/>
    <tableColumn id="9" xr3:uid="{5FDC7A92-6A88-4153-8549-7D8580EDA050}" name="Zájem o školení (ano/n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4"/>
  <sheetViews>
    <sheetView tabSelected="1" zoomScale="115" zoomScaleNormal="115" workbookViewId="0">
      <selection activeCell="F24" sqref="F24"/>
    </sheetView>
  </sheetViews>
  <sheetFormatPr defaultColWidth="12.6640625" defaultRowHeight="15.75" customHeight="1" x14ac:dyDescent="0.25"/>
  <cols>
    <col min="1" max="1" width="17.5546875" bestFit="1" customWidth="1"/>
    <col min="2" max="2" width="17.6640625" bestFit="1" customWidth="1"/>
    <col min="3" max="3" width="15.44140625" bestFit="1" customWidth="1"/>
    <col min="4" max="4" width="10.6640625" customWidth="1"/>
    <col min="5" max="5" width="15.77734375" bestFit="1" customWidth="1"/>
    <col min="6" max="6" width="41.44140625" bestFit="1" customWidth="1"/>
    <col min="7" max="7" width="31" bestFit="1" customWidth="1"/>
    <col min="8" max="8" width="23.33203125" customWidth="1"/>
    <col min="9" max="9" width="24.5546875" customWidth="1"/>
    <col min="12" max="12" width="17.5546875" bestFit="1" customWidth="1"/>
    <col min="13" max="13" width="41.44140625" bestFit="1" customWidth="1"/>
  </cols>
  <sheetData>
    <row r="1" spans="1:1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ht="15.75" customHeight="1" x14ac:dyDescent="0.3">
      <c r="A2" s="1" t="s">
        <v>9</v>
      </c>
      <c r="B2" s="1" t="s">
        <v>10</v>
      </c>
      <c r="C2" s="1">
        <v>24</v>
      </c>
      <c r="D2" s="1" t="s">
        <v>11</v>
      </c>
      <c r="E2" s="1">
        <v>7</v>
      </c>
      <c r="F2" s="1">
        <v>19</v>
      </c>
      <c r="G2" s="1" t="s">
        <v>12</v>
      </c>
      <c r="H2" s="1">
        <v>66</v>
      </c>
      <c r="I2" s="1" t="s">
        <v>13</v>
      </c>
      <c r="K2" s="4" t="s">
        <v>43</v>
      </c>
      <c r="L2" s="2" t="s">
        <v>38</v>
      </c>
      <c r="M2" t="s">
        <v>40</v>
      </c>
    </row>
    <row r="3" spans="1:13" ht="13.2" x14ac:dyDescent="0.25">
      <c r="A3" s="1" t="s">
        <v>14</v>
      </c>
      <c r="B3" s="1" t="s">
        <v>15</v>
      </c>
      <c r="C3" s="1">
        <v>25</v>
      </c>
      <c r="D3" s="1" t="s">
        <v>16</v>
      </c>
      <c r="E3" s="1">
        <v>2</v>
      </c>
      <c r="F3" s="1">
        <v>18</v>
      </c>
      <c r="G3" s="1" t="s">
        <v>12</v>
      </c>
      <c r="H3" s="1">
        <v>92</v>
      </c>
      <c r="I3" s="1" t="s">
        <v>13</v>
      </c>
      <c r="L3" s="3" t="s">
        <v>33</v>
      </c>
      <c r="M3">
        <v>21</v>
      </c>
    </row>
    <row r="4" spans="1:13" ht="13.2" x14ac:dyDescent="0.25">
      <c r="A4" s="1" t="s">
        <v>17</v>
      </c>
      <c r="B4" s="1" t="s">
        <v>10</v>
      </c>
      <c r="C4" s="1">
        <v>49</v>
      </c>
      <c r="D4" s="1" t="s">
        <v>16</v>
      </c>
      <c r="E4" s="1">
        <v>14</v>
      </c>
      <c r="F4" s="1">
        <v>42</v>
      </c>
      <c r="G4" s="1" t="s">
        <v>18</v>
      </c>
      <c r="H4" s="1">
        <v>60</v>
      </c>
      <c r="I4" s="1" t="s">
        <v>13</v>
      </c>
      <c r="L4" s="3" t="s">
        <v>25</v>
      </c>
      <c r="M4">
        <v>45</v>
      </c>
    </row>
    <row r="5" spans="1:13" ht="13.2" x14ac:dyDescent="0.25">
      <c r="A5" s="1" t="s">
        <v>19</v>
      </c>
      <c r="B5" s="1" t="s">
        <v>15</v>
      </c>
      <c r="C5" s="1">
        <v>44</v>
      </c>
      <c r="D5" s="1" t="s">
        <v>11</v>
      </c>
      <c r="E5" s="1">
        <v>4</v>
      </c>
      <c r="F5" s="1">
        <v>18</v>
      </c>
      <c r="G5" s="1" t="s">
        <v>18</v>
      </c>
      <c r="H5" s="1">
        <v>66</v>
      </c>
      <c r="I5" s="1" t="s">
        <v>13</v>
      </c>
      <c r="L5" s="3" t="s">
        <v>35</v>
      </c>
      <c r="M5">
        <v>11</v>
      </c>
    </row>
    <row r="6" spans="1:13" ht="13.2" x14ac:dyDescent="0.25">
      <c r="A6" s="1" t="s">
        <v>20</v>
      </c>
      <c r="B6" s="1" t="s">
        <v>15</v>
      </c>
      <c r="C6" s="1">
        <v>29</v>
      </c>
      <c r="D6" s="1" t="s">
        <v>11</v>
      </c>
      <c r="E6" s="1">
        <v>11</v>
      </c>
      <c r="F6" s="1">
        <v>43</v>
      </c>
      <c r="G6" s="1" t="s">
        <v>18</v>
      </c>
      <c r="H6" s="1">
        <v>62</v>
      </c>
      <c r="I6" s="1" t="s">
        <v>21</v>
      </c>
      <c r="L6" s="3" t="s">
        <v>30</v>
      </c>
      <c r="M6">
        <v>52</v>
      </c>
    </row>
    <row r="7" spans="1:13" ht="13.2" x14ac:dyDescent="0.25">
      <c r="A7" s="1" t="s">
        <v>22</v>
      </c>
      <c r="B7" s="1" t="s">
        <v>10</v>
      </c>
      <c r="C7" s="1">
        <v>47</v>
      </c>
      <c r="D7" s="1" t="s">
        <v>16</v>
      </c>
      <c r="E7" s="1">
        <v>17</v>
      </c>
      <c r="F7" s="1">
        <v>23</v>
      </c>
      <c r="G7" s="1" t="s">
        <v>23</v>
      </c>
      <c r="H7" s="1">
        <v>99</v>
      </c>
      <c r="I7" s="1" t="s">
        <v>21</v>
      </c>
      <c r="L7" s="3" t="s">
        <v>22</v>
      </c>
      <c r="M7">
        <v>23</v>
      </c>
    </row>
    <row r="8" spans="1:13" ht="13.2" x14ac:dyDescent="0.25">
      <c r="A8" s="1" t="s">
        <v>24</v>
      </c>
      <c r="B8" s="1" t="s">
        <v>10</v>
      </c>
      <c r="C8" s="1">
        <v>27</v>
      </c>
      <c r="D8" s="1" t="s">
        <v>16</v>
      </c>
      <c r="E8" s="1">
        <v>7</v>
      </c>
      <c r="F8" s="1">
        <v>54</v>
      </c>
      <c r="G8" s="1" t="s">
        <v>18</v>
      </c>
      <c r="H8" s="1">
        <v>65</v>
      </c>
      <c r="I8" s="1" t="s">
        <v>13</v>
      </c>
      <c r="L8" s="3" t="s">
        <v>34</v>
      </c>
      <c r="M8">
        <v>32</v>
      </c>
    </row>
    <row r="9" spans="1:13" ht="13.2" x14ac:dyDescent="0.25">
      <c r="A9" s="1" t="s">
        <v>25</v>
      </c>
      <c r="B9" s="1" t="s">
        <v>10</v>
      </c>
      <c r="C9" s="1">
        <v>47</v>
      </c>
      <c r="D9" s="1" t="s">
        <v>11</v>
      </c>
      <c r="E9" s="1">
        <v>14</v>
      </c>
      <c r="F9" s="1">
        <v>45</v>
      </c>
      <c r="G9" s="1" t="s">
        <v>18</v>
      </c>
      <c r="H9" s="1">
        <v>70</v>
      </c>
      <c r="I9" s="1" t="s">
        <v>21</v>
      </c>
      <c r="L9" s="3" t="s">
        <v>32</v>
      </c>
      <c r="M9">
        <v>15</v>
      </c>
    </row>
    <row r="10" spans="1:13" ht="13.2" x14ac:dyDescent="0.25">
      <c r="A10" s="1" t="s">
        <v>26</v>
      </c>
      <c r="B10" s="1" t="s">
        <v>15</v>
      </c>
      <c r="C10" s="1">
        <v>36</v>
      </c>
      <c r="D10" s="1" t="s">
        <v>11</v>
      </c>
      <c r="E10" s="1">
        <v>20</v>
      </c>
      <c r="F10" s="1">
        <v>9</v>
      </c>
      <c r="G10" s="1" t="s">
        <v>23</v>
      </c>
      <c r="H10" s="1">
        <v>100</v>
      </c>
      <c r="I10" s="1" t="s">
        <v>13</v>
      </c>
      <c r="L10" s="3" t="s">
        <v>9</v>
      </c>
      <c r="M10">
        <v>19</v>
      </c>
    </row>
    <row r="11" spans="1:13" ht="13.2" x14ac:dyDescent="0.25">
      <c r="A11" s="1" t="s">
        <v>27</v>
      </c>
      <c r="B11" s="1" t="s">
        <v>10</v>
      </c>
      <c r="C11" s="1">
        <v>33</v>
      </c>
      <c r="D11" s="1" t="s">
        <v>11</v>
      </c>
      <c r="E11" s="1">
        <v>12</v>
      </c>
      <c r="F11" s="1">
        <v>22</v>
      </c>
      <c r="G11" s="1" t="s">
        <v>23</v>
      </c>
      <c r="H11" s="1">
        <v>95</v>
      </c>
      <c r="I11" s="1" t="s">
        <v>13</v>
      </c>
      <c r="L11" s="3" t="s">
        <v>27</v>
      </c>
      <c r="M11">
        <v>22</v>
      </c>
    </row>
    <row r="12" spans="1:13" ht="13.2" x14ac:dyDescent="0.25">
      <c r="A12" s="1" t="s">
        <v>28</v>
      </c>
      <c r="B12" s="1" t="s">
        <v>15</v>
      </c>
      <c r="C12" s="1">
        <v>26</v>
      </c>
      <c r="D12" s="1" t="s">
        <v>16</v>
      </c>
      <c r="E12" s="1">
        <v>1</v>
      </c>
      <c r="F12" s="1">
        <v>56</v>
      </c>
      <c r="G12" s="1" t="s">
        <v>18</v>
      </c>
      <c r="H12" s="1">
        <v>85</v>
      </c>
      <c r="I12" s="1" t="s">
        <v>21</v>
      </c>
      <c r="L12" s="3" t="s">
        <v>24</v>
      </c>
      <c r="M12">
        <v>54</v>
      </c>
    </row>
    <row r="13" spans="1:13" ht="13.2" x14ac:dyDescent="0.25">
      <c r="A13" s="1" t="s">
        <v>29</v>
      </c>
      <c r="B13" s="1" t="s">
        <v>10</v>
      </c>
      <c r="C13" s="1">
        <v>36</v>
      </c>
      <c r="D13" s="1" t="s">
        <v>11</v>
      </c>
      <c r="E13" s="1">
        <v>6</v>
      </c>
      <c r="F13" s="1">
        <v>46</v>
      </c>
      <c r="G13" s="1" t="s">
        <v>18</v>
      </c>
      <c r="H13" s="1">
        <v>85</v>
      </c>
      <c r="I13" s="1" t="s">
        <v>21</v>
      </c>
      <c r="L13" s="3" t="s">
        <v>19</v>
      </c>
      <c r="M13">
        <v>18</v>
      </c>
    </row>
    <row r="14" spans="1:13" ht="13.2" x14ac:dyDescent="0.25">
      <c r="A14" s="1" t="s">
        <v>30</v>
      </c>
      <c r="B14" s="1" t="s">
        <v>10</v>
      </c>
      <c r="C14" s="1">
        <v>39</v>
      </c>
      <c r="D14" s="1" t="s">
        <v>16</v>
      </c>
      <c r="E14" s="1">
        <v>7</v>
      </c>
      <c r="F14" s="1">
        <v>52</v>
      </c>
      <c r="G14" s="1" t="s">
        <v>23</v>
      </c>
      <c r="H14" s="1">
        <v>94</v>
      </c>
      <c r="I14" s="1" t="s">
        <v>21</v>
      </c>
      <c r="L14" s="3" t="s">
        <v>28</v>
      </c>
      <c r="M14">
        <v>56</v>
      </c>
    </row>
    <row r="15" spans="1:13" ht="13.2" x14ac:dyDescent="0.25">
      <c r="A15" s="1" t="s">
        <v>31</v>
      </c>
      <c r="B15" s="1" t="s">
        <v>15</v>
      </c>
      <c r="C15" s="1">
        <v>48</v>
      </c>
      <c r="D15" s="1" t="s">
        <v>11</v>
      </c>
      <c r="E15" s="1">
        <v>7</v>
      </c>
      <c r="F15" s="1">
        <v>13</v>
      </c>
      <c r="G15" s="1" t="s">
        <v>23</v>
      </c>
      <c r="H15" s="1">
        <v>91</v>
      </c>
      <c r="I15" s="1" t="s">
        <v>13</v>
      </c>
      <c r="L15" s="3" t="s">
        <v>17</v>
      </c>
      <c r="M15">
        <v>42</v>
      </c>
    </row>
    <row r="16" spans="1:13" ht="13.2" x14ac:dyDescent="0.25">
      <c r="A16" s="1" t="s">
        <v>32</v>
      </c>
      <c r="B16" s="1" t="s">
        <v>10</v>
      </c>
      <c r="C16" s="1">
        <v>30</v>
      </c>
      <c r="D16" s="1" t="s">
        <v>16</v>
      </c>
      <c r="E16" s="1">
        <v>20</v>
      </c>
      <c r="F16" s="1">
        <v>15</v>
      </c>
      <c r="G16" s="1" t="s">
        <v>23</v>
      </c>
      <c r="H16" s="1">
        <v>87</v>
      </c>
      <c r="I16" s="1" t="s">
        <v>13</v>
      </c>
      <c r="L16" s="3" t="s">
        <v>29</v>
      </c>
      <c r="M16">
        <v>46</v>
      </c>
    </row>
    <row r="17" spans="1:13" ht="13.2" x14ac:dyDescent="0.25">
      <c r="A17" s="1" t="s">
        <v>33</v>
      </c>
      <c r="B17" s="1" t="s">
        <v>15</v>
      </c>
      <c r="C17" s="1">
        <v>47</v>
      </c>
      <c r="D17" s="1" t="s">
        <v>11</v>
      </c>
      <c r="E17" s="1">
        <v>16</v>
      </c>
      <c r="F17" s="1">
        <v>21</v>
      </c>
      <c r="G17" s="1" t="s">
        <v>23</v>
      </c>
      <c r="H17" s="1">
        <v>60</v>
      </c>
      <c r="I17" s="1" t="s">
        <v>13</v>
      </c>
      <c r="L17" s="3" t="s">
        <v>36</v>
      </c>
      <c r="M17">
        <v>54</v>
      </c>
    </row>
    <row r="18" spans="1:13" ht="13.2" x14ac:dyDescent="0.25">
      <c r="A18" s="1" t="s">
        <v>34</v>
      </c>
      <c r="B18" s="1" t="s">
        <v>15</v>
      </c>
      <c r="C18" s="1">
        <v>44</v>
      </c>
      <c r="D18" s="1" t="s">
        <v>16</v>
      </c>
      <c r="E18" s="1">
        <v>9</v>
      </c>
      <c r="F18" s="1">
        <v>32</v>
      </c>
      <c r="G18" s="1" t="s">
        <v>12</v>
      </c>
      <c r="H18" s="1">
        <v>89</v>
      </c>
      <c r="I18" s="1" t="s">
        <v>13</v>
      </c>
      <c r="L18" s="3" t="s">
        <v>26</v>
      </c>
      <c r="M18">
        <v>9</v>
      </c>
    </row>
    <row r="19" spans="1:13" ht="13.2" x14ac:dyDescent="0.25">
      <c r="A19" s="1" t="s">
        <v>35</v>
      </c>
      <c r="B19" s="1" t="s">
        <v>15</v>
      </c>
      <c r="C19" s="1">
        <v>55</v>
      </c>
      <c r="D19" s="1" t="s">
        <v>16</v>
      </c>
      <c r="E19" s="1">
        <v>16</v>
      </c>
      <c r="F19" s="1">
        <v>11</v>
      </c>
      <c r="G19" s="1" t="s">
        <v>23</v>
      </c>
      <c r="H19" s="1">
        <v>79</v>
      </c>
      <c r="I19" s="1" t="s">
        <v>13</v>
      </c>
      <c r="L19" s="3" t="s">
        <v>14</v>
      </c>
      <c r="M19">
        <v>18</v>
      </c>
    </row>
    <row r="20" spans="1:13" ht="13.2" x14ac:dyDescent="0.25">
      <c r="A20" s="1" t="s">
        <v>36</v>
      </c>
      <c r="B20" s="1" t="s">
        <v>10</v>
      </c>
      <c r="C20" s="1">
        <v>46</v>
      </c>
      <c r="D20" s="1" t="s">
        <v>16</v>
      </c>
      <c r="E20" s="1">
        <v>17</v>
      </c>
      <c r="F20" s="1">
        <v>54</v>
      </c>
      <c r="G20" s="1" t="s">
        <v>23</v>
      </c>
      <c r="H20" s="1">
        <v>60</v>
      </c>
      <c r="I20" s="1" t="s">
        <v>21</v>
      </c>
      <c r="L20" s="3" t="s">
        <v>31</v>
      </c>
      <c r="M20">
        <v>13</v>
      </c>
    </row>
    <row r="21" spans="1:13" ht="13.2" x14ac:dyDescent="0.25">
      <c r="A21" s="1" t="s">
        <v>37</v>
      </c>
      <c r="B21" s="1" t="s">
        <v>15</v>
      </c>
      <c r="C21" s="1">
        <v>24</v>
      </c>
      <c r="D21" s="1" t="s">
        <v>16</v>
      </c>
      <c r="E21" s="1">
        <v>11</v>
      </c>
      <c r="F21" s="1">
        <v>58</v>
      </c>
      <c r="G21" s="1" t="s">
        <v>18</v>
      </c>
      <c r="H21" s="1">
        <v>75</v>
      </c>
      <c r="I21" s="1" t="s">
        <v>13</v>
      </c>
      <c r="L21" s="3" t="s">
        <v>20</v>
      </c>
      <c r="M21">
        <v>43</v>
      </c>
    </row>
    <row r="22" spans="1:13" ht="15.75" customHeight="1" x14ac:dyDescent="0.25">
      <c r="L22" s="3" t="s">
        <v>37</v>
      </c>
      <c r="M22">
        <v>58</v>
      </c>
    </row>
    <row r="23" spans="1:13" ht="15.75" customHeight="1" x14ac:dyDescent="0.25">
      <c r="L23" s="3" t="s">
        <v>39</v>
      </c>
      <c r="M23">
        <v>651</v>
      </c>
    </row>
    <row r="25" spans="1:13" ht="15.75" customHeight="1" x14ac:dyDescent="0.3">
      <c r="A25" s="4" t="s">
        <v>44</v>
      </c>
      <c r="E25" s="4" t="s">
        <v>45</v>
      </c>
      <c r="H25" s="4" t="s">
        <v>46</v>
      </c>
    </row>
    <row r="26" spans="1:13" ht="15.75" customHeight="1" x14ac:dyDescent="0.3">
      <c r="B26" s="2" t="s">
        <v>38</v>
      </c>
      <c r="C26" t="s">
        <v>41</v>
      </c>
      <c r="E26" s="2" t="s">
        <v>38</v>
      </c>
      <c r="F26" t="s">
        <v>40</v>
      </c>
      <c r="G26" t="s">
        <v>41</v>
      </c>
      <c r="M26" s="4" t="s">
        <v>47</v>
      </c>
    </row>
    <row r="27" spans="1:13" ht="15.75" customHeight="1" x14ac:dyDescent="0.25">
      <c r="B27" s="3" t="s">
        <v>12</v>
      </c>
      <c r="C27">
        <v>82.333333333333329</v>
      </c>
      <c r="E27" s="3" t="s">
        <v>16</v>
      </c>
      <c r="F27">
        <v>415</v>
      </c>
      <c r="G27">
        <v>80.454545454545453</v>
      </c>
    </row>
    <row r="28" spans="1:13" ht="15.75" customHeight="1" x14ac:dyDescent="0.25">
      <c r="B28" s="3" t="s">
        <v>18</v>
      </c>
      <c r="C28">
        <v>71</v>
      </c>
      <c r="E28" s="3" t="s">
        <v>11</v>
      </c>
      <c r="F28">
        <v>236</v>
      </c>
      <c r="G28">
        <v>77.222222222222229</v>
      </c>
    </row>
    <row r="29" spans="1:13" ht="15.75" customHeight="1" x14ac:dyDescent="0.25">
      <c r="B29" s="3" t="s">
        <v>23</v>
      </c>
      <c r="C29">
        <v>85</v>
      </c>
      <c r="E29" s="3" t="s">
        <v>39</v>
      </c>
      <c r="F29">
        <v>651</v>
      </c>
      <c r="G29">
        <v>79</v>
      </c>
    </row>
    <row r="30" spans="1:13" ht="15.75" customHeight="1" x14ac:dyDescent="0.25">
      <c r="B30" s="3" t="s">
        <v>39</v>
      </c>
      <c r="C30">
        <v>79</v>
      </c>
    </row>
    <row r="31" spans="1:13" ht="15.75" customHeight="1" x14ac:dyDescent="0.3">
      <c r="E31" s="4" t="s">
        <v>48</v>
      </c>
    </row>
    <row r="34" spans="2:10" ht="15.75" customHeight="1" x14ac:dyDescent="0.25">
      <c r="B34" s="2" t="s">
        <v>38</v>
      </c>
      <c r="C34" t="s">
        <v>42</v>
      </c>
    </row>
    <row r="35" spans="2:10" ht="15.75" customHeight="1" x14ac:dyDescent="0.25">
      <c r="B35" s="3" t="s">
        <v>10</v>
      </c>
      <c r="C35">
        <v>10</v>
      </c>
    </row>
    <row r="36" spans="2:10" ht="15.75" customHeight="1" x14ac:dyDescent="0.25">
      <c r="B36" s="3" t="s">
        <v>15</v>
      </c>
      <c r="C36">
        <v>10</v>
      </c>
    </row>
    <row r="37" spans="2:10" ht="15.75" customHeight="1" x14ac:dyDescent="0.25">
      <c r="B37" s="3" t="s">
        <v>39</v>
      </c>
      <c r="C37">
        <v>20</v>
      </c>
    </row>
    <row r="42" spans="2:10" ht="15.75" customHeight="1" x14ac:dyDescent="0.3">
      <c r="I42" s="4" t="s">
        <v>49</v>
      </c>
    </row>
    <row r="43" spans="2:10" ht="15.75" customHeight="1" x14ac:dyDescent="0.25">
      <c r="I43" t="s">
        <v>16</v>
      </c>
      <c r="J43" t="s">
        <v>11</v>
      </c>
    </row>
    <row r="44" spans="2:10" ht="15.75" customHeight="1" x14ac:dyDescent="0.25">
      <c r="I44" cm="1">
        <f t="array" ref="I44:I54">_xlfn._xlws.FILTER(Tabulka1[[#All],[Spokojenost klientů (%)]],Tabulka1[[#All],[Vzdělání]]="SŠ")</f>
        <v>92</v>
      </c>
      <c r="J44" cm="1">
        <f t="array" ref="J44:J52">_xlfn._xlws.FILTER(Tabulka1[[#All],[Spokojenost klientů (%)]],Tabulka1[[#All],[Vzdělání]]="vŠ")</f>
        <v>66</v>
      </c>
    </row>
    <row r="45" spans="2:10" ht="15.75" customHeight="1" x14ac:dyDescent="0.25">
      <c r="I45">
        <v>60</v>
      </c>
      <c r="J45">
        <v>66</v>
      </c>
    </row>
    <row r="46" spans="2:10" ht="15.75" customHeight="1" x14ac:dyDescent="0.25">
      <c r="I46">
        <v>99</v>
      </c>
      <c r="J46">
        <v>62</v>
      </c>
    </row>
    <row r="47" spans="2:10" ht="15.75" customHeight="1" x14ac:dyDescent="0.3">
      <c r="E47" s="4" t="s">
        <v>50</v>
      </c>
      <c r="I47">
        <v>65</v>
      </c>
      <c r="J47">
        <v>70</v>
      </c>
    </row>
    <row r="48" spans="2:10" ht="15.75" customHeight="1" x14ac:dyDescent="0.25">
      <c r="I48">
        <v>85</v>
      </c>
      <c r="J48">
        <v>100</v>
      </c>
    </row>
    <row r="49" spans="9:10" ht="15.75" customHeight="1" x14ac:dyDescent="0.25">
      <c r="I49">
        <v>94</v>
      </c>
      <c r="J49">
        <v>95</v>
      </c>
    </row>
    <row r="50" spans="9:10" ht="15.75" customHeight="1" x14ac:dyDescent="0.25">
      <c r="I50">
        <v>87</v>
      </c>
      <c r="J50">
        <v>85</v>
      </c>
    </row>
    <row r="51" spans="9:10" ht="15.75" customHeight="1" x14ac:dyDescent="0.25">
      <c r="I51">
        <v>89</v>
      </c>
      <c r="J51">
        <v>91</v>
      </c>
    </row>
    <row r="52" spans="9:10" ht="15.75" customHeight="1" x14ac:dyDescent="0.25">
      <c r="I52">
        <v>79</v>
      </c>
      <c r="J52">
        <v>60</v>
      </c>
    </row>
    <row r="53" spans="9:10" ht="15.75" customHeight="1" x14ac:dyDescent="0.25">
      <c r="I53">
        <v>60</v>
      </c>
    </row>
    <row r="54" spans="9:10" ht="15.75" customHeight="1" x14ac:dyDescent="0.25">
      <c r="I54">
        <v>75</v>
      </c>
    </row>
  </sheetData>
  <pageMargins left="0.7" right="0.7" top="0.78740157499999996" bottom="0.78740157499999996" header="0.3" footer="0.3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Dataset_realitn_ch_makl___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Hamšík</dc:creator>
  <cp:lastModifiedBy>Adam Hamšík</cp:lastModifiedBy>
  <dcterms:created xsi:type="dcterms:W3CDTF">2026-05-30T16:05:28Z</dcterms:created>
  <dcterms:modified xsi:type="dcterms:W3CDTF">2026-05-30T16:17:18Z</dcterms:modified>
</cp:coreProperties>
</file>